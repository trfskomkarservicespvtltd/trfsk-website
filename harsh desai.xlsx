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sh desai" sheetId="1" r:id="rId5"/>
    <sheet state="visible" name="Harsh prajapati" sheetId="2" r:id="rId6"/>
    <sheet state="visible" name="smit amin" sheetId="3" r:id="rId7"/>
    <sheet state="visible" name="dineshbhai paperiya" sheetId="4" r:id="rId8"/>
    <sheet state="visible" name="Sunil malvia" sheetId="5" r:id="rId9"/>
    <sheet state="visible" name="Ajay sing" sheetId="6" r:id="rId10"/>
    <sheet state="visible" name="vikas zhakar" sheetId="7" r:id="rId11"/>
    <sheet state="visible" name="amar singh" sheetId="8" r:id="rId12"/>
    <sheet state="visible" name="Shubham Dhariwal" sheetId="9" r:id="rId13"/>
    <sheet state="visible" name="sachin singh" sheetId="10" r:id="rId14"/>
    <sheet state="visible" name="nishant panchal" sheetId="11" r:id="rId15"/>
    <sheet state="visible" name="Laxmikant Mohanty" sheetId="12" r:id="rId16"/>
    <sheet state="visible" name="dharmesh bhai" sheetId="13" r:id="rId17"/>
    <sheet state="visible" name="mohit vaghela" sheetId="14" r:id="rId18"/>
    <sheet state="visible" name="Dhiren bhai" sheetId="15" r:id="rId19"/>
    <sheet state="visible" name="pravin bhai pambar" sheetId="16" r:id="rId20"/>
    <sheet state="visible" name="Deepak Rajpoot" sheetId="17" r:id="rId21"/>
    <sheet state="visible" name="sujata krishnamurthi" sheetId="18" r:id="rId22"/>
    <sheet state="visible" name="Jannesh krishnamurthi" sheetId="19" r:id="rId23"/>
    <sheet state="visible" name="Somaya Bg" sheetId="20" r:id="rId24"/>
    <sheet state="visible" name="Yogansh Sony " sheetId="21" r:id="rId25"/>
    <sheet state="visible" name="moxit Takor" sheetId="22" r:id="rId26"/>
    <sheet state="visible" name="nikitaben solanki" sheetId="23" r:id="rId27"/>
    <sheet state="visible" name="Tarunaben solanki" sheetId="24" r:id="rId28"/>
    <sheet state="visible" name="kala arudara jaykar" sheetId="25" r:id="rId29"/>
    <sheet state="visible" name="monojkumar modi" sheetId="26" r:id="rId30"/>
    <sheet state="visible" name="surendraSarangi" sheetId="27" r:id="rId31"/>
    <sheet state="visible" name="Mousami Rath" sheetId="28" r:id="rId32"/>
    <sheet state="visible" name="nirdesh Thakur" sheetId="29" r:id="rId33"/>
    <sheet state="visible" name="joti shankar mishra" sheetId="30" r:id="rId34"/>
    <sheet state="visible" name="Hemendra srivastava" sheetId="31" r:id="rId35"/>
    <sheet state="visible" name="Vinayak Chavhan" sheetId="32" r:id="rId36"/>
    <sheet state="visible" name="kush bansal" sheetId="33" r:id="rId37"/>
    <sheet state="visible" name="Meenu Bhagarita" sheetId="34" r:id="rId38"/>
    <sheet state="visible" name="Meena sir Faang investment" sheetId="35" r:id="rId39"/>
    <sheet state="visible" name="Trupti jadeja" sheetId="36" r:id="rId40"/>
    <sheet state="visible" name="Ashok Sadariya" sheetId="37" r:id="rId41"/>
    <sheet state="visible" name="brijraj jadeja" sheetId="38" r:id="rId42"/>
    <sheet state="visible" name="Meenu Bragta" sheetId="39" r:id="rId43"/>
    <sheet state="visible" name="Akshay Urade" sheetId="40" r:id="rId44"/>
    <sheet state="visible" name="aarif Sharif" sheetId="41" r:id="rId45"/>
    <sheet state="visible" name="Sharmil Bhai" sheetId="42" r:id="rId46"/>
    <sheet state="visible" name="Naman bansal" sheetId="43" r:id="rId47"/>
    <sheet state="visible" name="Abid rashi" sheetId="44" r:id="rId48"/>
    <sheet state="visible" name="Ajay Konjerala" sheetId="45" r:id="rId49"/>
    <sheet state="visible" name="Mounika (ajay sister)" sheetId="46" r:id="rId50"/>
    <sheet state="visible" name="Bhupendra bhai 50k" sheetId="47" r:id="rId51"/>
    <sheet state="visible" name="Bhupendra bhai 1 lakh" sheetId="48" r:id="rId52"/>
    <sheet state="visible" name="Bhupendra bhai 2 lakh" sheetId="49" r:id="rId53"/>
    <sheet state="visible" name="Kirti bhai" sheetId="50" r:id="rId54"/>
    <sheet state="visible" name="Rahul Verma" sheetId="51" r:id="rId55"/>
    <sheet state="visible" name="Ruthvik aravinda " sheetId="52" r:id="rId56"/>
    <sheet state="visible" name="khrawkupar khar singh " sheetId="53" r:id="rId57"/>
    <sheet state="visible" name="Shailesh Pandey " sheetId="54" r:id="rId58"/>
    <sheet state="visible" name="Aniket Shrivastava " sheetId="55" r:id="rId59"/>
    <sheet state="visible" name="Swati Sharma " sheetId="56" r:id="rId60"/>
    <sheet state="visible" name="Monthly payout per month" sheetId="57" r:id="rId61"/>
  </sheets>
  <definedNames>
    <definedName hidden="1" localSheetId="0" name="_xlnm._FilterDatabase">'harsh desai'!$A$1:$H$40</definedName>
    <definedName hidden="1" localSheetId="40" name="Z_E30BA907_ACEB_4473_94A0_425FF8D3FF94_.wvu.FilterData">'aarif Sharif'!$A$1:$F$15</definedName>
    <definedName hidden="1" localSheetId="40" name="Z_214BB88E_088D_4FD3_8123_4BA0BEF734A1_.wvu.FilterData">'aarif Sharif'!$A$1:$F$15</definedName>
    <definedName hidden="1" localSheetId="40" name="Z_D9705E1F_2D5A_4760_8F0A_E6C2C054AA1D_.wvu.FilterData">'aarif Sharif'!$A$1:$F$15</definedName>
  </definedNames>
  <calcPr/>
  <customWorkbookViews>
    <customWorkbookView activeSheetId="0" maximized="1" windowHeight="0" windowWidth="0" guid="{E30BA907-ACEB-4473-94A0-425FF8D3FF94}" name="Group by amount of investment [2]"/>
    <customWorkbookView activeSheetId="0" maximized="1" windowHeight="0" windowWidth="0" guid="{214BB88E-088D-4FD3-8123-4BA0BEF734A1}" name="Group by repayment amount"/>
    <customWorkbookView activeSheetId="0" maximized="1" windowHeight="0" windowWidth="0" guid="{D9705E1F-2D5A-4760-8F0A-E6C2C054AA1D}" name="Group by amount of investment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tc={1c8c0e9c-a1b4-41bc-908d-5b569d73dc32}</author>
    <author>tc={35a97fc9-0a93-4f0a-a130-84b6bf01ba27}</author>
    <author>tc={3cb51954-1254-45ee-9cd2-4f983ebd9969}</author>
    <author>tc={ce1a304c-6e1e-48a9-80e3-ae8a28104b39}</author>
  </authors>
  <commentList>
    <comment authorId="0" xr:uid="{1c8c0e9c-a1b4-41bc-908d-5b569d73dc32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amount adjusted to punita desai and interest rate of returns increased from 21% to 28%
</t>
      </text>
    </comment>
    <comment authorId="1" xr:uid="{35a97fc9-0a93-4f0a-a130-84b6bf01ba27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amount adjusted to punita desai and interest rate of returns increased from 21% to 28%
</t>
      </text>
    </comment>
    <comment authorId="2" xr:uid="{3cb51954-1254-45ee-9cd2-4f983ebd9969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amount adjusted to punita desai and interest rate of returns increased from 21% to 28%
</t>
      </text>
    </comment>
    <comment authorId="3" xr:uid="{ce1a304c-6e1e-48a9-80e3-ae8a28104b39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130000-90000= 40000 pending with me still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tc={00bd792a-4495-4878-832b-223c99c2fdad}</author>
  </authors>
  <commentList>
    <comment authorId="0" xr:uid="{00bd792a-4495-4878-832b-223c99c2fdad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100000 settled in investment and 5000 rs paid on 30th nov 23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tc={3dbb4326-e0ce-4c9a-a421-95e39735c501}</author>
    <author>tc={497cd6fc-62a0-4aec-a564-a157224b0229}</author>
  </authors>
  <commentList>
    <comment authorId="0" xr:uid="{3dbb4326-e0ce-4c9a-a421-95e39735c501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6days payment for 2lakhs of funds added with rate of returns of 20%
</t>
      </text>
    </comment>
    <comment authorId="1" xr:uid="{497cd6fc-62a0-4aec-a564-a157224b0229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with 1.5 lakh previous one and on both 20% it made means extra 5% after this month is only for additional 2 L agreement is made of 5 lakhs but total investment is of 3.5 lakhs only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tc={cca56e9b-a398-4910-ab0b-7fd2ef3c16cc}</author>
  </authors>
  <commentList>
    <comment authorId="0" xr:uid="{cca56e9b-a398-4910-ab0b-7fd2ef3c16cc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Adjustment against somaya bg amount transfer of 1 lakh for investment transfered 70k and 30k taken as repayement to jannesh
</t>
      </text>
    </comment>
  </commentList>
</comments>
</file>

<file path=xl/sharedStrings.xml><?xml version="1.0" encoding="utf-8"?>
<sst xmlns="http://schemas.openxmlformats.org/spreadsheetml/2006/main" count="2422" uniqueCount="587">
  <si>
    <t>Transaction types</t>
  </si>
  <si>
    <t>Transactions Type</t>
  </si>
  <si>
    <t>date of investment</t>
  </si>
  <si>
    <t xml:space="preserve">agreement name </t>
  </si>
  <si>
    <t>amount of investment</t>
  </si>
  <si>
    <t>repayment dates</t>
  </si>
  <si>
    <t>repayment amount</t>
  </si>
  <si>
    <t>Roi</t>
  </si>
  <si>
    <t>investment</t>
  </si>
  <si>
    <t>20th Dec 23</t>
  </si>
  <si>
    <t>Smit Amin</t>
  </si>
  <si>
    <t>30th March 24</t>
  </si>
  <si>
    <t xml:space="preserve">Dineshbhai paperiya </t>
  </si>
  <si>
    <t>RoI</t>
  </si>
  <si>
    <t>repayment</t>
  </si>
  <si>
    <t>31st Dec 23</t>
  </si>
  <si>
    <t>8th May 24</t>
  </si>
  <si>
    <t>Repayment as per 21%</t>
  </si>
  <si>
    <t>31st dec 23</t>
  </si>
  <si>
    <t xml:space="preserve">june </t>
  </si>
  <si>
    <t>Repayment as per 30</t>
  </si>
  <si>
    <t>5th Feb 24</t>
  </si>
  <si>
    <t>july</t>
  </si>
  <si>
    <t>Repayment</t>
  </si>
  <si>
    <t>08th Mar 24</t>
  </si>
  <si>
    <t>Investment</t>
  </si>
  <si>
    <t>capital returned</t>
  </si>
  <si>
    <t>15th Feb 24</t>
  </si>
  <si>
    <t>30th April 24</t>
  </si>
  <si>
    <t xml:space="preserve">Extra returns earning due to upgrated in roi on Investment </t>
  </si>
  <si>
    <t>Harsh prajapati</t>
  </si>
  <si>
    <t>5% returns for 5th August, sept, oct respectively</t>
  </si>
  <si>
    <t>7th June 24</t>
  </si>
  <si>
    <t>3% returns for 5th Sep, 5th Oct, 5th Nov respectively</t>
  </si>
  <si>
    <t>1st oct 23</t>
  </si>
  <si>
    <t>Punita desai</t>
  </si>
  <si>
    <t>16th May 24</t>
  </si>
  <si>
    <t>08th May 24</t>
  </si>
  <si>
    <t>09th Mar 24</t>
  </si>
  <si>
    <t>5th oct 23</t>
  </si>
  <si>
    <t>IN CASE OF DISCONTINUE FROM INVESTMENT CAPITAL WILL START REPAYMENT FROM END OF Nov 24</t>
  </si>
  <si>
    <t>IN CASE OF DISCONTINUE FROM INVESTMENT CAPITAL WILL START REPAYMENT FROM END OF SEPTEMBER 24</t>
  </si>
  <si>
    <t xml:space="preserve">repayment </t>
  </si>
  <si>
    <t>31st oct 23</t>
  </si>
  <si>
    <t>punita desai</t>
  </si>
  <si>
    <t>4th nov</t>
  </si>
  <si>
    <t>Harsh Desai</t>
  </si>
  <si>
    <t>capital</t>
  </si>
  <si>
    <t>% of returns capital</t>
  </si>
  <si>
    <t>INVESTMENT OF</t>
  </si>
  <si>
    <t>month of used of capital</t>
  </si>
  <si>
    <t>MIN RETURNS</t>
  </si>
  <si>
    <t>USED MONTHS</t>
  </si>
  <si>
    <t>per month min intrest</t>
  </si>
  <si>
    <t>PER MONTH INTREST</t>
  </si>
  <si>
    <t>total intrest for the month your funds is being used by us</t>
  </si>
  <si>
    <t xml:space="preserve">TOTAL INTREST TILL DATE ON INVESTMENT </t>
  </si>
  <si>
    <t>TOTAL AMOUNT TO REPAY</t>
  </si>
  <si>
    <t>oct</t>
  </si>
  <si>
    <t xml:space="preserve">1st investment </t>
  </si>
  <si>
    <t>Janvhi Soni</t>
  </si>
  <si>
    <t>5th nov</t>
  </si>
  <si>
    <t>REPAYMENT TILL NOW WE MADE</t>
  </si>
  <si>
    <t>30th nov 23</t>
  </si>
  <si>
    <t>harsh desai</t>
  </si>
  <si>
    <t>3rd dec</t>
  </si>
  <si>
    <t xml:space="preserve"> NEED TO REPAY as on DISCONTINUE WITH PLANS</t>
  </si>
  <si>
    <t>janvhi Soni</t>
  </si>
  <si>
    <t>3rd dec 23</t>
  </si>
  <si>
    <t>Repayment will start from September 24 end</t>
  </si>
  <si>
    <t>Sep to  i.e till Dec 5th</t>
  </si>
  <si>
    <t>Sep to  i.e till oct 5th</t>
  </si>
  <si>
    <t>YOU WILL NEED TO REPAY US BACK TO DISCONTINUE WITH PLANS</t>
  </si>
  <si>
    <t>4th dec 23</t>
  </si>
  <si>
    <t>Oct end i.e till Jan 5th</t>
  </si>
  <si>
    <t>Nov end i.e Feb 5th</t>
  </si>
  <si>
    <t>Oct end i.e till nov 5th</t>
  </si>
  <si>
    <t>Nov end i.e dec 5th</t>
  </si>
  <si>
    <t xml:space="preserve">will be paid on </t>
  </si>
  <si>
    <t>Sep end</t>
  </si>
  <si>
    <t>ie. Oct 5th</t>
  </si>
  <si>
    <t>6th dec 23</t>
  </si>
  <si>
    <t>Oct end</t>
  </si>
  <si>
    <t>ie Nov 5th</t>
  </si>
  <si>
    <t>Nov end</t>
  </si>
  <si>
    <t>ie. Dec 5th</t>
  </si>
  <si>
    <t>11th dec 23</t>
  </si>
  <si>
    <t>3rd jan 23</t>
  </si>
  <si>
    <t>repayment for harsh and punita desai</t>
  </si>
  <si>
    <t xml:space="preserve">adjusted in new investment </t>
  </si>
  <si>
    <t>03rd Jan 24</t>
  </si>
  <si>
    <t>04th Jan 24</t>
  </si>
  <si>
    <t>4th jan</t>
  </si>
  <si>
    <t>Janvhi mam</t>
  </si>
  <si>
    <t>paid from harsh desai</t>
  </si>
  <si>
    <t>05th Jan 24</t>
  </si>
  <si>
    <t>Harsh desai</t>
  </si>
  <si>
    <t>8th jan 24</t>
  </si>
  <si>
    <t>8th feb 24</t>
  </si>
  <si>
    <t>Janvhi soni</t>
  </si>
  <si>
    <t>janvhi soni</t>
  </si>
  <si>
    <t>adjusted</t>
  </si>
  <si>
    <t>12th feb 24</t>
  </si>
  <si>
    <t>12th Feb 24</t>
  </si>
  <si>
    <t>28th march 24</t>
  </si>
  <si>
    <t>31st march 24</t>
  </si>
  <si>
    <t>5% intrest to be</t>
  </si>
  <si>
    <t>Total investment</t>
  </si>
  <si>
    <t>actually paid by harsh and janvi</t>
  </si>
  <si>
    <t>Adjusted amount</t>
  </si>
  <si>
    <t>nov</t>
  </si>
  <si>
    <t>2nd Investment</t>
  </si>
  <si>
    <t>dec</t>
  </si>
  <si>
    <t>3rd Investment</t>
  </si>
  <si>
    <t xml:space="preserve">Agreement name </t>
  </si>
  <si>
    <t>jan</t>
  </si>
  <si>
    <t>4th Investment</t>
  </si>
  <si>
    <t>25th sep 23</t>
  </si>
  <si>
    <t>Sunil malvia</t>
  </si>
  <si>
    <t>26th sep 23</t>
  </si>
  <si>
    <t>feb</t>
  </si>
  <si>
    <t>5th Investment</t>
  </si>
  <si>
    <t>27th sep 23</t>
  </si>
  <si>
    <t>28th sep 23</t>
  </si>
  <si>
    <t>29th sep 23</t>
  </si>
  <si>
    <t>30th sep 23</t>
  </si>
  <si>
    <t>% of returns</t>
  </si>
  <si>
    <t>3rd Nov 23</t>
  </si>
  <si>
    <t>Ajay Somata</t>
  </si>
  <si>
    <t>investment till date</t>
  </si>
  <si>
    <t>3rd jan 24</t>
  </si>
  <si>
    <t>paid till date</t>
  </si>
  <si>
    <t>5000 paid and 1 lakhs settle in 5 lakhs</t>
  </si>
  <si>
    <t>balance capital with me</t>
  </si>
  <si>
    <t>28th Jan 24</t>
  </si>
  <si>
    <t>30th Nov 23</t>
  </si>
  <si>
    <t>28th jan 24</t>
  </si>
  <si>
    <t>29th jan 24</t>
  </si>
  <si>
    <t>30th jan 24</t>
  </si>
  <si>
    <t>03rd jan 24</t>
  </si>
  <si>
    <t>total capital out of this investment</t>
  </si>
  <si>
    <t>total balance capital with me</t>
  </si>
  <si>
    <t>05th jan 24</t>
  </si>
  <si>
    <t>31st Jan 24</t>
  </si>
  <si>
    <t>7th feb 24</t>
  </si>
  <si>
    <t>18th mar 24</t>
  </si>
  <si>
    <t>20th mar 24</t>
  </si>
  <si>
    <t>28th mar 24</t>
  </si>
  <si>
    <t>11th april 24</t>
  </si>
  <si>
    <t>Paid 10k and below 2 laks was settle as investment</t>
  </si>
  <si>
    <t>5th may 24</t>
  </si>
  <si>
    <t>11th may 24</t>
  </si>
  <si>
    <t>16th feb 24</t>
  </si>
  <si>
    <t>16th june 24</t>
  </si>
  <si>
    <t>4th March 24</t>
  </si>
  <si>
    <t>4th Mar 24</t>
  </si>
  <si>
    <t>5th mar 24</t>
  </si>
  <si>
    <t>Min Returns</t>
  </si>
  <si>
    <t>5th Mar 24</t>
  </si>
  <si>
    <t>31st May 24</t>
  </si>
  <si>
    <t>3rd Jan 24</t>
  </si>
  <si>
    <t>Shubham Dhariwal</t>
  </si>
  <si>
    <t>5th July</t>
  </si>
  <si>
    <t>5th Aug</t>
  </si>
  <si>
    <t>5th sep</t>
  </si>
  <si>
    <t>2nd investment</t>
  </si>
  <si>
    <t>4th investment</t>
  </si>
  <si>
    <t>5th Oct 24</t>
  </si>
  <si>
    <t>5th Nov 24</t>
  </si>
  <si>
    <t>5th Dec 24</t>
  </si>
  <si>
    <t>21st July 24</t>
  </si>
  <si>
    <t>Sachin Singh</t>
  </si>
  <si>
    <t>31st Aug 23</t>
  </si>
  <si>
    <t>8th feb 23</t>
  </si>
  <si>
    <t>7th mar 23</t>
  </si>
  <si>
    <t>7th apr 23</t>
  </si>
  <si>
    <t>4th may 23</t>
  </si>
  <si>
    <t>3% intrest to be</t>
  </si>
  <si>
    <t>5th july</t>
  </si>
  <si>
    <t>5th Sep</t>
  </si>
  <si>
    <t>Capital Invested</t>
  </si>
  <si>
    <t>7th oct 23</t>
  </si>
  <si>
    <t>nishant Panchal</t>
  </si>
  <si>
    <t>6th feb 23</t>
  </si>
  <si>
    <t>9th mar 23</t>
  </si>
  <si>
    <t>7th May 23</t>
  </si>
  <si>
    <t>8th May 23</t>
  </si>
  <si>
    <t>Capital</t>
  </si>
  <si>
    <t>15% on 1.5 lakhs</t>
  </si>
  <si>
    <t>20% on 2 lakhs</t>
  </si>
  <si>
    <t>Laxmikant Mohanty</t>
  </si>
  <si>
    <t>total amount to be paid</t>
  </si>
  <si>
    <t>payment we have done</t>
  </si>
  <si>
    <t>repayments</t>
  </si>
  <si>
    <t>15th dec 23</t>
  </si>
  <si>
    <t>Balance to be paid</t>
  </si>
  <si>
    <t>17th Feb, 23</t>
  </si>
  <si>
    <t>04th marc 23</t>
  </si>
  <si>
    <t>06th apr</t>
  </si>
  <si>
    <t>2nd May</t>
  </si>
  <si>
    <t xml:space="preserve">08th may </t>
  </si>
  <si>
    <t>june</t>
  </si>
  <si>
    <t>augus</t>
  </si>
  <si>
    <t xml:space="preserve">balance capital </t>
  </si>
  <si>
    <t>one month intrest</t>
  </si>
  <si>
    <t>total months of intrest @2% min roi april-dec 24, jan25-Dec 25+jan 26 till july 26 calcualted</t>
  </si>
  <si>
    <t>new balance to repay with intrest of 2% min intrest 3x of banks rate of intrest</t>
  </si>
  <si>
    <t>ROI</t>
  </si>
  <si>
    <t>15th sep 23</t>
  </si>
  <si>
    <t>Dharmesh bhai</t>
  </si>
  <si>
    <t>01st Oct 23</t>
  </si>
  <si>
    <t>1st dec 23</t>
  </si>
  <si>
    <t>2nd jan 23</t>
  </si>
  <si>
    <t>05th feb 23</t>
  </si>
  <si>
    <t>05th Mar 23</t>
  </si>
  <si>
    <t>07th Apr 23</t>
  </si>
  <si>
    <t>07th May 23</t>
  </si>
  <si>
    <t>30th Sep 23</t>
  </si>
  <si>
    <t>Mohit vaghela</t>
  </si>
  <si>
    <t>01st nov 23</t>
  </si>
  <si>
    <t>1st Dec 23</t>
  </si>
  <si>
    <t>2nd Jan 24</t>
  </si>
  <si>
    <t>05th Mar 24</t>
  </si>
  <si>
    <t>5th april 24</t>
  </si>
  <si>
    <t>7th May 24</t>
  </si>
  <si>
    <t>5% returns for june july and aug</t>
  </si>
  <si>
    <t>which will be paid in sep end</t>
  </si>
  <si>
    <t>15th Septemeber 23</t>
  </si>
  <si>
    <t xml:space="preserve">Dhiren Acharya </t>
  </si>
  <si>
    <t>31st Oct 23</t>
  </si>
  <si>
    <t xml:space="preserve">july </t>
  </si>
  <si>
    <t>aug</t>
  </si>
  <si>
    <t>sep</t>
  </si>
  <si>
    <t>30th dec 23</t>
  </si>
  <si>
    <t>Pravin bhai Pambar</t>
  </si>
  <si>
    <t>1st jan 24</t>
  </si>
  <si>
    <t>which will be paid in September end</t>
  </si>
  <si>
    <t>7th Feb 24</t>
  </si>
  <si>
    <t>9th feb 24</t>
  </si>
  <si>
    <t>12th Mar 24</t>
  </si>
  <si>
    <t>16th Mar 24</t>
  </si>
  <si>
    <t>18th Mar 24</t>
  </si>
  <si>
    <t>27th Mar 24</t>
  </si>
  <si>
    <t>28th Mar 24</t>
  </si>
  <si>
    <t>March month</t>
  </si>
  <si>
    <t>skip</t>
  </si>
  <si>
    <t>April Month</t>
  </si>
  <si>
    <t>Not paid</t>
  </si>
  <si>
    <t>May Month</t>
  </si>
  <si>
    <t>June end</t>
  </si>
  <si>
    <t>31th may 23</t>
  </si>
  <si>
    <t>Deepak Rajpoot</t>
  </si>
  <si>
    <t>July end</t>
  </si>
  <si>
    <t>30th june 23</t>
  </si>
  <si>
    <t>August end</t>
  </si>
  <si>
    <t>1st aug 23</t>
  </si>
  <si>
    <t>7th Aug 23</t>
  </si>
  <si>
    <t>24th Oct 23</t>
  </si>
  <si>
    <t>03rd April 23</t>
  </si>
  <si>
    <t>1st Nov 23</t>
  </si>
  <si>
    <t>30th March 23</t>
  </si>
  <si>
    <t>4tj jan 24</t>
  </si>
  <si>
    <t>3rd Feb 24</t>
  </si>
  <si>
    <t>6th mar 24</t>
  </si>
  <si>
    <t>7th mar 24</t>
  </si>
  <si>
    <t>3rd May 24</t>
  </si>
  <si>
    <t>5th July 24</t>
  </si>
  <si>
    <t>09th June 23</t>
  </si>
  <si>
    <t>Sujata krishnamurthi</t>
  </si>
  <si>
    <t>10th June 23</t>
  </si>
  <si>
    <t>1st July 23</t>
  </si>
  <si>
    <t>15th July 24</t>
  </si>
  <si>
    <t>1st Aug 23</t>
  </si>
  <si>
    <t>1st Sep 23</t>
  </si>
  <si>
    <t>1st Oct 23</t>
  </si>
  <si>
    <t>25th Nov 23</t>
  </si>
  <si>
    <t>25th nov 23</t>
  </si>
  <si>
    <t>addjusted to the investment of 2L of sujata krishnamurth</t>
  </si>
  <si>
    <t>8th Jan 24</t>
  </si>
  <si>
    <t>10th Feb 24</t>
  </si>
  <si>
    <t>15th April 24</t>
  </si>
  <si>
    <t>Jannesh Krishnamurthi</t>
  </si>
  <si>
    <t>29th May 24</t>
  </si>
  <si>
    <t>05th May 23</t>
  </si>
  <si>
    <t>Jannesh krishnamurthi</t>
  </si>
  <si>
    <t>31st May 23</t>
  </si>
  <si>
    <t>somaya Bg</t>
  </si>
  <si>
    <t>for somaya Bg</t>
  </si>
  <si>
    <t>Bonus</t>
  </si>
  <si>
    <t>3rd nov 23</t>
  </si>
  <si>
    <t>Addjusted to the investment of 2L of sujata krishnamurth</t>
  </si>
  <si>
    <t>10th Dec 23</t>
  </si>
  <si>
    <t>7th Jan 24</t>
  </si>
  <si>
    <t>2nd Feb 24</t>
  </si>
  <si>
    <t>10th Mar 24</t>
  </si>
  <si>
    <t>20th Mar 24</t>
  </si>
  <si>
    <t>26th Mar 24</t>
  </si>
  <si>
    <t>1st April 24</t>
  </si>
  <si>
    <t>11th April 24</t>
  </si>
  <si>
    <t>2nd May 24</t>
  </si>
  <si>
    <t>Capital Returned</t>
  </si>
  <si>
    <t>31st august</t>
  </si>
  <si>
    <t>somaya bg</t>
  </si>
  <si>
    <t>transfered to jannesh account</t>
  </si>
  <si>
    <t>5th Jan 24</t>
  </si>
  <si>
    <t>10th Jan 24</t>
  </si>
  <si>
    <t xml:space="preserve">Investment </t>
  </si>
  <si>
    <t xml:space="preserve">investment </t>
  </si>
  <si>
    <t>1st June 2024</t>
  </si>
  <si>
    <t>5th July 2024</t>
  </si>
  <si>
    <t>7th June 2024</t>
  </si>
  <si>
    <t>5th March 2024.</t>
  </si>
  <si>
    <t>05th June 23</t>
  </si>
  <si>
    <t>Moxit Takor</t>
  </si>
  <si>
    <t>21st July</t>
  </si>
  <si>
    <t>Nikitaben Solanki</t>
  </si>
  <si>
    <t>10th june 23</t>
  </si>
  <si>
    <t>30th June 23</t>
  </si>
  <si>
    <t>5th nov 23</t>
  </si>
  <si>
    <t>31st aug 23</t>
  </si>
  <si>
    <t>9th Jan 24</t>
  </si>
  <si>
    <t>Nikitaben</t>
  </si>
  <si>
    <t>7th dec 23</t>
  </si>
  <si>
    <t>tarunaben solanki</t>
  </si>
  <si>
    <t>9th jan 24</t>
  </si>
  <si>
    <t>Tarunaben</t>
  </si>
  <si>
    <t>01st July 23</t>
  </si>
  <si>
    <t>Kala Radhika R</t>
  </si>
  <si>
    <t>1st sep 23</t>
  </si>
  <si>
    <t>2nd oct 23</t>
  </si>
  <si>
    <t>10th feb 24</t>
  </si>
  <si>
    <t>1st april 24</t>
  </si>
  <si>
    <t>3rd Feb 2024</t>
  </si>
  <si>
    <t>Manoj kumar Modi</t>
  </si>
  <si>
    <t>05th March 24</t>
  </si>
  <si>
    <t>14th Mar 2024</t>
  </si>
  <si>
    <t>5th April 24</t>
  </si>
  <si>
    <t xml:space="preserve">Surendra Sarangi </t>
  </si>
  <si>
    <t>6th April 24</t>
  </si>
  <si>
    <t>5th Nov 23</t>
  </si>
  <si>
    <t>Mousami Rath</t>
  </si>
  <si>
    <t>4th Jan 24</t>
  </si>
  <si>
    <t>10th Jan 23</t>
  </si>
  <si>
    <t>4th feb 24</t>
  </si>
  <si>
    <t>31st sep 23</t>
  </si>
  <si>
    <t>28th April 24</t>
  </si>
  <si>
    <t>bonus</t>
  </si>
  <si>
    <t>6th Nov 23</t>
  </si>
  <si>
    <t>6th Dec 23</t>
  </si>
  <si>
    <t>10th Dec</t>
  </si>
  <si>
    <t>18th Jan 24</t>
  </si>
  <si>
    <t>4th Feb 24</t>
  </si>
  <si>
    <t>PER MOTH INTREST</t>
  </si>
  <si>
    <t>03rd July 23</t>
  </si>
  <si>
    <t>Nirdesh Thakur</t>
  </si>
  <si>
    <t>15th Aug 23</t>
  </si>
  <si>
    <t>08th March 24</t>
  </si>
  <si>
    <t>Jyoti shankar Mishra</t>
  </si>
  <si>
    <t>21st nov 23</t>
  </si>
  <si>
    <t>12th March 24</t>
  </si>
  <si>
    <t>25th April 24</t>
  </si>
  <si>
    <t>07th Jan 24</t>
  </si>
  <si>
    <t xml:space="preserve">on total investment amount on 11 lakhs </t>
  </si>
  <si>
    <t>29th Mar 4</t>
  </si>
  <si>
    <t>till now the repayment done</t>
  </si>
  <si>
    <t>11th Aug 2023</t>
  </si>
  <si>
    <t>Hemendra srivastava</t>
  </si>
  <si>
    <t>12th Aug 2023</t>
  </si>
  <si>
    <t>4th Oct 23</t>
  </si>
  <si>
    <t>4th nov 23</t>
  </si>
  <si>
    <t>10th jan 24</t>
  </si>
  <si>
    <t>9th Mar 24</t>
  </si>
  <si>
    <t>27th mar 24</t>
  </si>
  <si>
    <t>30th mar 24</t>
  </si>
  <si>
    <t>7th may 24</t>
  </si>
  <si>
    <t>DISCONTINUE FROM INVESTMENT CAPITAL WILL START REPAYMENT FROM END OF SEPTEMBER 24</t>
  </si>
  <si>
    <t>MIN RETURNS @ 3%</t>
  </si>
  <si>
    <t>18th June 23</t>
  </si>
  <si>
    <t>Vinayak Chavhan</t>
  </si>
  <si>
    <t>01st August 23</t>
  </si>
  <si>
    <t>02nd August 23</t>
  </si>
  <si>
    <t>27th June 23</t>
  </si>
  <si>
    <t>Kush Bansal</t>
  </si>
  <si>
    <t>31st july 2023</t>
  </si>
  <si>
    <t>31st Aug 2023</t>
  </si>
  <si>
    <t>05th september 23</t>
  </si>
  <si>
    <t>29th Nov 23</t>
  </si>
  <si>
    <t>Meenu Bhagarita</t>
  </si>
  <si>
    <t>05th oct 23</t>
  </si>
  <si>
    <t>7th Apri 24</t>
  </si>
  <si>
    <t>6th nov 23</t>
  </si>
  <si>
    <t>09th Dec 23</t>
  </si>
  <si>
    <t>1.5% intrest on pending capital</t>
  </si>
  <si>
    <t xml:space="preserve">27th april </t>
  </si>
  <si>
    <t>Repayment till September 24 end</t>
  </si>
  <si>
    <t>19th Sep 23</t>
  </si>
  <si>
    <t>Meena sir</t>
  </si>
  <si>
    <t>9th Dec 23</t>
  </si>
  <si>
    <t>11th Jan 24</t>
  </si>
  <si>
    <t>05Th feb 24</t>
  </si>
  <si>
    <t>pending</t>
  </si>
  <si>
    <t>Skiped</t>
  </si>
  <si>
    <t>27th april 24</t>
  </si>
  <si>
    <t>July Edn</t>
  </si>
  <si>
    <t>16th aug 23</t>
  </si>
  <si>
    <t>Trupti jadeja</t>
  </si>
  <si>
    <t>1st Jan 24</t>
  </si>
  <si>
    <t>6th Feb 24</t>
  </si>
  <si>
    <t>20th feb 24</t>
  </si>
  <si>
    <t>6th March 24</t>
  </si>
  <si>
    <t>7th April 24</t>
  </si>
  <si>
    <t>Brijraj Jadeja</t>
  </si>
  <si>
    <t>11th Nov 23</t>
  </si>
  <si>
    <t>Ashok Sadariya</t>
  </si>
  <si>
    <t>3rd July 23</t>
  </si>
  <si>
    <t>26th Nov 23</t>
  </si>
  <si>
    <t>01st Aug 23</t>
  </si>
  <si>
    <t>7th March 24</t>
  </si>
  <si>
    <t>5th Dec 23</t>
  </si>
  <si>
    <t>July End</t>
  </si>
  <si>
    <t>Meenu Bragta</t>
  </si>
  <si>
    <t>Akshay Urade</t>
  </si>
  <si>
    <t>03st Oct 23</t>
  </si>
  <si>
    <t>4th Dec 23</t>
  </si>
  <si>
    <t>3th Jan 24</t>
  </si>
  <si>
    <t>8th Feb 24</t>
  </si>
  <si>
    <t>21th Aug, 2023</t>
  </si>
  <si>
    <t>Aarif Sharrif</t>
  </si>
  <si>
    <t>22th Aug, 2023</t>
  </si>
  <si>
    <t>13th Sep 2023</t>
  </si>
  <si>
    <t>23rd Sep 2023</t>
  </si>
  <si>
    <t>27th Sep 2023</t>
  </si>
  <si>
    <t>30th sep 2023</t>
  </si>
  <si>
    <t>2,50,000</t>
  </si>
  <si>
    <t xml:space="preserve">2nd investment </t>
  </si>
  <si>
    <t>7th June 23</t>
  </si>
  <si>
    <t>Sharmill Bhai</t>
  </si>
  <si>
    <t>31st July 23</t>
  </si>
  <si>
    <t>05th Aug 23</t>
  </si>
  <si>
    <t>30th Aug 23</t>
  </si>
  <si>
    <t>01st Nov 23</t>
  </si>
  <si>
    <t>Sharmil Bhai</t>
  </si>
  <si>
    <t>Refrral Bonus</t>
  </si>
  <si>
    <t>17th March 24</t>
  </si>
  <si>
    <t>26th March 24</t>
  </si>
  <si>
    <t>31st March 24</t>
  </si>
  <si>
    <t>2nd jan 24</t>
  </si>
  <si>
    <t>14th july 23</t>
  </si>
  <si>
    <t>15th july 23</t>
  </si>
  <si>
    <t>13th Aug 23</t>
  </si>
  <si>
    <t>9th sep 23</t>
  </si>
  <si>
    <t>11th oct 23</t>
  </si>
  <si>
    <t>4th Nov 23</t>
  </si>
  <si>
    <t>2nd feb 24</t>
  </si>
  <si>
    <t>3rd Mar 24</t>
  </si>
  <si>
    <t>7th Mar 24</t>
  </si>
  <si>
    <t>3rd Apr 24</t>
  </si>
  <si>
    <t>3rd jun 24</t>
  </si>
  <si>
    <t>4th july 24</t>
  </si>
  <si>
    <t>4th Aug 24</t>
  </si>
  <si>
    <t>11th June, 2025</t>
  </si>
  <si>
    <t>Mr Aabid Ahmad Reshi</t>
  </si>
  <si>
    <t>11th May, 2025</t>
  </si>
  <si>
    <t>30th May 2025</t>
  </si>
  <si>
    <t>30th June, 2025</t>
  </si>
  <si>
    <t>15th Aug, 2025</t>
  </si>
  <si>
    <t>29th aug 2025</t>
  </si>
  <si>
    <t>11th sep 2025</t>
  </si>
  <si>
    <t>2nd October 2025</t>
  </si>
  <si>
    <t>6th nov 2025</t>
  </si>
  <si>
    <t>9th nov 2025</t>
  </si>
  <si>
    <t>16th Nov, 2025</t>
  </si>
  <si>
    <t>Capital Returned %</t>
  </si>
  <si>
    <t>Capital with us pending</t>
  </si>
  <si>
    <t>2% (Minimum returns on pending capital)</t>
  </si>
  <si>
    <t>Date of Investment</t>
  </si>
  <si>
    <t xml:space="preserve">Agreement Name </t>
  </si>
  <si>
    <t>Amount of Investment</t>
  </si>
  <si>
    <t>Repayment Dates</t>
  </si>
  <si>
    <t>Repayment Amount</t>
  </si>
  <si>
    <t>PAID ROI %</t>
  </si>
  <si>
    <t>30th March 2025</t>
  </si>
  <si>
    <t>Mr Ajay Konjerela</t>
  </si>
  <si>
    <t>-</t>
  </si>
  <si>
    <t>30th April, 2025</t>
  </si>
  <si>
    <t>31st May, 2025</t>
  </si>
  <si>
    <t>2nd June, 2025</t>
  </si>
  <si>
    <t>08th July, 2025</t>
  </si>
  <si>
    <t>04th July, 2025</t>
  </si>
  <si>
    <t>14th July, 2025</t>
  </si>
  <si>
    <t>2nd oct 2025</t>
  </si>
  <si>
    <t>8th Nov 2025</t>
  </si>
  <si>
    <t>IN CASE OF DISCONTINUE FROM INVESTMENT PENDING CAPITAL  WILL BE REFUNDED</t>
  </si>
  <si>
    <t>PAYABLE AMOUNT</t>
  </si>
  <si>
    <t>21st June 2025</t>
  </si>
  <si>
    <t>miss Mounika rampali</t>
  </si>
  <si>
    <t>2nd Oct 2025</t>
  </si>
  <si>
    <t>8th nov 2025</t>
  </si>
  <si>
    <t>TO BE PAID BY 15TH AUG 25</t>
  </si>
  <si>
    <t>11th Sep, 2025</t>
  </si>
  <si>
    <t xml:space="preserve">Mrs Narmadabhen parmar </t>
  </si>
  <si>
    <t>7th Oct, 2025</t>
  </si>
  <si>
    <t>8th Nov, 2025</t>
  </si>
  <si>
    <t>2nd Oct, 2025</t>
  </si>
  <si>
    <t xml:space="preserve">Re-payment </t>
  </si>
  <si>
    <t>10th Oct, 2025</t>
  </si>
  <si>
    <t>7th oct, 2025</t>
  </si>
  <si>
    <t>27th Aug, 2025</t>
  </si>
  <si>
    <t>Kirtibhai Parmar</t>
  </si>
  <si>
    <t>1st Oct, 2025</t>
  </si>
  <si>
    <t>33 days payout</t>
  </si>
  <si>
    <t xml:space="preserve">30 days payout </t>
  </si>
  <si>
    <t>.</t>
  </si>
  <si>
    <t>6th oct, 2024</t>
  </si>
  <si>
    <t>Rahul Verma</t>
  </si>
  <si>
    <t>11th Dec, 2024</t>
  </si>
  <si>
    <t>30th oct 24</t>
  </si>
  <si>
    <t xml:space="preserve">Paid </t>
  </si>
  <si>
    <t>26th Feb 2025</t>
  </si>
  <si>
    <t>01st Dec 2024</t>
  </si>
  <si>
    <t>01st Jan, 2025</t>
  </si>
  <si>
    <t>03rd Jan, 2025</t>
  </si>
  <si>
    <t>30th Jan, 2025</t>
  </si>
  <si>
    <t>03rd Mar, 2025</t>
  </si>
  <si>
    <t>25th Mar, 2025</t>
  </si>
  <si>
    <t>30th Apr, 2025</t>
  </si>
  <si>
    <t xml:space="preserve">Capital </t>
  </si>
  <si>
    <t xml:space="preserve">Total repayment with capital </t>
  </si>
  <si>
    <t>Date of Agreement</t>
  </si>
  <si>
    <t>Capital Refunded in %</t>
  </si>
  <si>
    <t xml:space="preserve">Balance to be paid </t>
  </si>
  <si>
    <t>18th Dec, 2024</t>
  </si>
  <si>
    <t xml:space="preserve">Ruthvik Aravind </t>
  </si>
  <si>
    <t>30th Dec, 2024</t>
  </si>
  <si>
    <t xml:space="preserve">from AU bank </t>
  </si>
  <si>
    <t>7th Feb, 2025</t>
  </si>
  <si>
    <t>Ruthvik Aravind</t>
  </si>
  <si>
    <t xml:space="preserve">from Au Bank </t>
  </si>
  <si>
    <t>8th Feb, 2025</t>
  </si>
  <si>
    <t>2nd Mar, 2025</t>
  </si>
  <si>
    <t>ICICI Bank</t>
  </si>
  <si>
    <t>8th Apr, 25</t>
  </si>
  <si>
    <t>7th feb</t>
  </si>
  <si>
    <t>30th Apr 25</t>
  </si>
  <si>
    <t xml:space="preserve">ICICI Bank </t>
  </si>
  <si>
    <t>mar</t>
  </si>
  <si>
    <t>ICICI bank</t>
  </si>
  <si>
    <t>apri;</t>
  </si>
  <si>
    <t>12th may 25</t>
  </si>
  <si>
    <t>m,ay</t>
  </si>
  <si>
    <t>jun</t>
  </si>
  <si>
    <t>jul</t>
  </si>
  <si>
    <t>Total Intrest for the Tenure</t>
  </si>
  <si>
    <t>IN CASE OF DISCONTINUE FROM INVESTMENT CAPITAL REPAYMENT CALCULATIONS UP TILL AUG 2025</t>
  </si>
  <si>
    <t>Balance capital to be paid</t>
  </si>
  <si>
    <t>SR NO</t>
  </si>
  <si>
    <t>Capital pending after repayments</t>
  </si>
  <si>
    <t xml:space="preserve">3rd investmnet </t>
  </si>
  <si>
    <t>Intrest + Total Capital pending</t>
  </si>
  <si>
    <t>12th June, 2025</t>
  </si>
  <si>
    <t xml:space="preserve">Mr khrawkupar khar singh </t>
  </si>
  <si>
    <t>30th June 2025</t>
  </si>
  <si>
    <t>30th July, 2025</t>
  </si>
  <si>
    <t>29th aug, 2025</t>
  </si>
  <si>
    <t>03rd Sep, 2025</t>
  </si>
  <si>
    <t>8th Oct, 2025</t>
  </si>
  <si>
    <t>19th Aug, 2025</t>
  </si>
  <si>
    <t xml:space="preserve">Shailesh Pandey </t>
  </si>
  <si>
    <t>02nd Oct, 2025</t>
  </si>
  <si>
    <t xml:space="preserve">aniket Shrivastava </t>
  </si>
  <si>
    <t>5,50,000</t>
  </si>
  <si>
    <t>08th Nov, 2025</t>
  </si>
  <si>
    <t xml:space="preserve">Swati Sharma </t>
  </si>
  <si>
    <t>Sr No</t>
  </si>
  <si>
    <t>Investor Name</t>
  </si>
  <si>
    <t>Monthly Payout</t>
  </si>
  <si>
    <t>Mr Ajay Konjerala</t>
  </si>
  <si>
    <t>Miss Mounika Rupali</t>
  </si>
  <si>
    <t>Kharwkupar kharsing</t>
  </si>
  <si>
    <t>Abid Rashi</t>
  </si>
  <si>
    <t>Vijay sidhan</t>
  </si>
  <si>
    <t>1st payout of full 30 days</t>
  </si>
  <si>
    <t>chotya</t>
  </si>
  <si>
    <t xml:space="preserve">1st payout of 15 days </t>
  </si>
  <si>
    <t>Total monthly obligations</t>
  </si>
  <si>
    <t>TOTAL cash in hand to full fill oblication on upcoming cycle</t>
  </si>
  <si>
    <t>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</si>
</sst>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;(#,##0)"/>
    <numFmt numFmtId="165" formatCode="#,##0.00;(#,##0.00)"/>
    <numFmt numFmtId="166" formatCode="#,##0.0;(#,##0.0)"/>
    <numFmt numFmtId="167" formatCode="d mmm yy"/>
    <numFmt numFmtId="168" formatCode="0.0"/>
    <numFmt numFmtId="169" formatCode="mmm d"/>
    <numFmt numFmtId="170" formatCode="mmmm d"/>
    <numFmt numFmtId="171" formatCode="d mmmm yy"/>
    <numFmt numFmtId="172" formatCode="mmm, d"/>
    <numFmt numFmtId="173" formatCode="d/m/yyyy"/>
    <numFmt numFmtId="174" formatCode="0.0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000000"/>
      <name val="Calibri"/>
    </font>
    <font>
      <b/>
      <sz val="11.0"/>
      <color theme="1"/>
      <name val="Arial"/>
      <scheme val="minor"/>
    </font>
    <font>
      <b/>
      <sz val="12.0"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readingOrder="0"/>
    </xf>
    <xf borderId="0" fillId="0" fontId="2" numFmtId="164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2" numFmtId="10" xfId="0" applyFont="1" applyNumberFormat="1"/>
    <xf borderId="0" fillId="0" fontId="2" numFmtId="165" xfId="0" applyFont="1" applyNumberFormat="1"/>
    <xf borderId="0" fillId="0" fontId="2" numFmtId="0" xfId="0" applyFont="1"/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166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2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right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3" xfId="0" applyFont="1" applyNumberFormat="1"/>
    <xf borderId="0" fillId="2" fontId="2" numFmtId="164" xfId="0" applyAlignment="1" applyFill="1" applyFont="1" applyNumberFormat="1">
      <alignment readingOrder="0"/>
    </xf>
    <xf borderId="0" fillId="0" fontId="1" numFmtId="168" xfId="0" applyFont="1" applyNumberFormat="1"/>
    <xf borderId="0" fillId="0" fontId="2" numFmtId="9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165" xfId="0" applyAlignment="1" applyFont="1" applyNumberFormat="1">
      <alignment horizontal="right"/>
    </xf>
    <xf borderId="4" fillId="0" fontId="1" numFmtId="0" xfId="0" applyBorder="1" applyFont="1"/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6" numFmtId="9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5" numFmtId="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5" numFmtId="165" xfId="0" applyAlignment="1" applyFont="1" applyNumberFormat="1">
      <alignment readingOrder="0" vertical="bottom"/>
    </xf>
    <xf borderId="0" fillId="0" fontId="5" numFmtId="9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1" numFmtId="10" xfId="0" applyFont="1" applyNumberFormat="1"/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2" numFmtId="164" xfId="0" applyAlignment="1" applyFont="1" applyNumberFormat="1">
      <alignment horizontal="right" shrinkToFit="0" wrapText="1"/>
    </xf>
    <xf borderId="0" fillId="0" fontId="2" numFmtId="169" xfId="0" applyAlignment="1" applyFont="1" applyNumberFormat="1">
      <alignment readingOrder="0"/>
    </xf>
    <xf borderId="0" fillId="0" fontId="2" numFmtId="166" xfId="0" applyAlignment="1" applyFont="1" applyNumberForma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166" xfId="0" applyFont="1" applyNumberFormat="1"/>
    <xf borderId="0" fillId="0" fontId="2" numFmtId="165" xfId="0" applyAlignment="1" applyFont="1" applyNumberForma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164" xfId="0" applyAlignment="1" applyFill="1" applyFont="1" applyNumberFormat="1">
      <alignment horizontal="center" readingOrder="0"/>
    </xf>
    <xf borderId="0" fillId="2" fontId="2" numFmtId="165" xfId="0" applyAlignment="1" applyFill="1" applyFont="1" applyNumberFormat="1">
      <alignment horizontal="center" readingOrder="0"/>
    </xf>
    <xf borderId="0" fillId="2" fontId="2" numFmtId="166" xfId="0" applyAlignment="1" applyFill="1" applyFont="1" applyNumberFormat="1">
      <alignment horizontal="center" readingOrder="0"/>
    </xf>
    <xf borderId="0" fillId="2" fontId="1" numFmtId="0" xfId="0" applyFill="1" applyFont="1"/>
    <xf borderId="0" fillId="2" fontId="1" numFmtId="165" xfId="0" applyAlignment="1" applyFill="1" applyFont="1" applyNumberFormat="1">
      <alignment readingOrder="0"/>
    </xf>
    <xf borderId="0" fillId="2" fontId="1" numFmtId="166" xfId="0" applyFill="1" applyFont="1" applyNumberFormat="1"/>
    <xf borderId="0" fillId="2" fontId="2" numFmtId="10" xfId="0" applyAlignment="1" applyFill="1" applyFont="1" applyNumberFormat="1">
      <alignment readingOrder="0"/>
    </xf>
    <xf borderId="0" fillId="2" fontId="2" numFmtId="0" xfId="0" applyFill="1" applyFont="1"/>
    <xf borderId="0" fillId="2" fontId="2" numFmtId="165" xfId="0" applyFill="1" applyFont="1" applyNumberFormat="1"/>
    <xf borderId="0" fillId="2" fontId="1" numFmtId="165" xfId="0" applyFill="1" applyFont="1" applyNumberFormat="1"/>
    <xf borderId="0" fillId="2" fontId="1" numFmtId="169" xfId="0" applyAlignment="1" applyFill="1" applyFont="1" applyNumberFormat="1">
      <alignment readingOrder="0"/>
    </xf>
    <xf borderId="0" fillId="2" fontId="1" numFmtId="170" xfId="0" applyAlignment="1" applyFill="1" applyFont="1" applyNumberFormat="1">
      <alignment readingOrder="0"/>
    </xf>
    <xf borderId="0" fillId="2" fontId="1" numFmtId="10" xfId="0" applyFill="1" applyFont="1" applyNumberFormat="1"/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shrinkToFit="0" wrapText="1"/>
    </xf>
    <xf borderId="0" fillId="2" fontId="1" numFmtId="166" xfId="0" applyAlignment="1" applyFill="1" applyFont="1" applyNumberFormat="1">
      <alignment readingOrder="0"/>
    </xf>
    <xf borderId="0" fillId="0" fontId="2" numFmtId="165" xfId="0" applyAlignment="1" applyFont="1" applyNumberFormat="1">
      <alignment horizontal="right" shrinkToFit="0" wrapText="1"/>
    </xf>
    <xf borderId="0" fillId="2" fontId="2" numFmtId="0" xfId="0" applyAlignment="1" applyFill="1" applyFont="1">
      <alignment readingOrder="0" shrinkToFit="0" wrapText="1"/>
    </xf>
    <xf borderId="0" fillId="2" fontId="2" numFmtId="165" xfId="0" applyAlignment="1" applyFill="1" applyFont="1" applyNumberFormat="1">
      <alignment horizontal="right"/>
    </xf>
    <xf borderId="0" fillId="0" fontId="2" numFmtId="170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0" fillId="0" fontId="1" numFmtId="171" xfId="0" applyAlignment="1" applyFont="1" applyNumberFormat="1">
      <alignment horizontal="left" readingOrder="0"/>
    </xf>
    <xf borderId="0" fillId="2" fontId="2" numFmtId="164" xfId="0" applyAlignment="1" applyFill="1" applyFont="1" applyNumberFormat="1">
      <alignment horizontal="center" readingOrder="0" shrinkToFit="0" vertical="center" wrapText="1"/>
    </xf>
    <xf borderId="0" fillId="0" fontId="1" numFmtId="1" xfId="0" applyFont="1" applyNumberFormat="1"/>
    <xf borderId="0" fillId="2" fontId="2" numFmtId="166" xfId="0" applyFill="1" applyFont="1" applyNumberFormat="1"/>
    <xf borderId="0" fillId="2" fontId="2" numFmtId="10" xfId="0" applyFill="1" applyFont="1" applyNumberFormat="1"/>
    <xf borderId="0" fillId="2" fontId="1" numFmtId="1" xfId="0" applyFill="1" applyFont="1" applyNumberFormat="1"/>
    <xf borderId="0" fillId="0" fontId="2" numFmtId="168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2" numFmtId="168" xfId="0" applyFont="1" applyNumberFormat="1"/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3" fontId="9" numFmtId="165" xfId="0" applyFill="1" applyFont="1" applyNumberFormat="1"/>
    <xf borderId="9" fillId="0" fontId="2" numFmtId="0" xfId="0" applyAlignment="1" applyBorder="1" applyFont="1">
      <alignment readingOrder="0" shrinkToFit="0" wrapText="1"/>
    </xf>
    <xf borderId="10" fillId="0" fontId="2" numFmtId="0" xfId="0" applyBorder="1" applyFont="1"/>
    <xf borderId="11" fillId="0" fontId="2" numFmtId="165" xfId="0" applyAlignment="1" applyBorder="1" applyFont="1" applyNumberFormat="1">
      <alignment horizontal="right"/>
    </xf>
    <xf borderId="12" fillId="0" fontId="2" numFmtId="0" xfId="0" applyAlignment="1" applyBorder="1" applyFont="1">
      <alignment readingOrder="0"/>
    </xf>
    <xf borderId="11" fillId="0" fontId="2" numFmtId="0" xfId="0" applyBorder="1" applyFont="1"/>
    <xf borderId="0" fillId="0" fontId="2" numFmtId="172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2" numFmtId="3" xfId="0" applyFont="1" applyNumberFormat="1"/>
    <xf borderId="0" fillId="0" fontId="2" numFmtId="174" xfId="0" applyFont="1" applyNumberFormat="1"/>
    <xf borderId="13" fillId="0" fontId="2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0" fillId="0" fontId="2" numFmtId="3" xfId="0" applyAlignment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arif Shari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mkar enterprises" id="{247e20f7-9077-451e-a676-ec00bcdb17c7}" providerId="google-sheets"/>
</x18tc:personList>
</file>

<file path=xl/tables/table1.xml><?xml version="1.0" encoding="utf-8"?>
<table xmlns="http://schemas.openxmlformats.org/spreadsheetml/2006/main" ref="A1:F15" displayName="Table1" name="Table1" id="1">
  <tableColumns count="6">
    <tableColumn name="Transaction types" id="1"/>
    <tableColumn name="date of investment" id="2"/>
    <tableColumn name="Agreement name " id="3"/>
    <tableColumn name="amount of investment" id="4"/>
    <tableColumn name="repayment dates" id="5"/>
    <tableColumn name="repayment amount" id="6"/>
  </tableColumns>
  <tableStyleInfo name="aarif Shari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" dT="2024-05-23T09:03:19.00" personId="{247e20f7-9077-451e-a676-ec00bcdb17c7}" id="{3cb51954-1254-45ee-9cd2-4f983ebd9969}" done="0">
    <x18tc:text xml:space="preserve">amount adjusted to punita desai and interest rate of returns increased from 21% to 28%</x18tc:text>
  </x18tc:threadedComment>
  <x18tc:threadedComment ref="C7" dT="2024-05-23T09:03:05.00" personId="{247e20f7-9077-451e-a676-ec00bcdb17c7}" id="{1c8c0e9c-a1b4-41bc-908d-5b569d73dc32}" done="0">
    <x18tc:text xml:space="preserve">amount adjusted to punita desai and interest rate of returns increased from 21% to 28%</x18tc:text>
  </x18tc:threadedComment>
  <x18tc:threadedComment ref="F37" dT="2024-06-16T10:30:03.00" personId="{247e20f7-9077-451e-a676-ec00bcdb17c7}" id="{ce1a304c-6e1e-48a9-80e3-ae8a28104b39}" done="0">
    <x18tc:text xml:space="preserve">130000-90000= 40000 pending with me still</x18tc:text>
  </x18tc:threadedComment>
  <x18tc:threadedComment ref="C6" dT="2024-05-23T09:02:58.00" personId="{247e20f7-9077-451e-a676-ec00bcdb17c7}" id="{35a97fc9-0a93-4f0a-a130-84b6bf01ba27}" done="0">
    <x18tc:text xml:space="preserve">amount adjusted to punita desai and interest rate of returns increased from 21% to 28%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" dT="2024-08-06T10:31:07.00" personId="{247e20f7-9077-451e-a676-ec00bcdb17c7}" id="{00bd792a-4495-4878-832b-223c99c2fdad}" done="0">
    <x18tc:text xml:space="preserve">100000 settled in investment and 5000 rs paid on 30th nov 23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" dT="2024-06-07T09:07:32.00" personId="{247e20f7-9077-451e-a676-ec00bcdb17c7}" id="{497cd6fc-62a0-4aec-a564-a157224b0229}" done="0">
    <x18tc:text xml:space="preserve">added with 1.5 lakh previous one and on both 20% it made means extra 5% after this month is only for additional 2 L agreement is made of 5 lakhs but total investment is of 3.5 lakhs only</x18tc:text>
  </x18tc:threadedComment>
  <x18tc:threadedComment ref="F9" dT="2024-06-07T09:08:25.00" personId="{247e20f7-9077-451e-a676-ec00bcdb17c7}" id="{3dbb4326-e0ce-4c9a-a421-95e39735c501}" done="0">
    <x18tc:text xml:space="preserve">6days payment for 2lakhs of funds added with rate of returns of 20%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9" dT="2024-06-07T15:19:26.00" personId="{247e20f7-9077-451e-a676-ec00bcdb17c7}" id="{cca56e9b-a398-4910-ab0b-7fd2ef3c16cc}" done="0">
    <x18tc:text xml:space="preserve">Adjustment against somaya bg amount transfer of 1 lakh for investment transfered 70k and 30k taken as repayement to jannesh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4.75"/>
    <col customWidth="1" min="4" max="4" width="18.25"/>
    <col customWidth="1" min="5" max="5" width="14.25"/>
    <col customWidth="1" min="6" max="6" width="17.25"/>
    <col customWidth="1" min="7" max="7" width="18.63"/>
    <col customWidth="1" min="8" max="8" width="36.5"/>
    <col customWidth="1" min="11" max="11" width="19.13"/>
    <col customWidth="1" min="12" max="12" width="17.63"/>
    <col hidden="1" min="14" max="14" width="12.63"/>
    <col customWidth="1" min="16" max="16" width="23.0"/>
  </cols>
  <sheetData>
    <row r="1">
      <c r="A1" s="2" t="s">
        <v>1</v>
      </c>
      <c r="B1" s="2" t="s">
        <v>2</v>
      </c>
      <c r="C1" s="4" t="s">
        <v>3</v>
      </c>
      <c r="D1" s="5" t="s">
        <v>4</v>
      </c>
      <c r="E1" s="2" t="s">
        <v>5</v>
      </c>
      <c r="F1" s="4" t="s">
        <v>6</v>
      </c>
      <c r="G1" s="6"/>
      <c r="H1" s="2" t="s">
        <v>13</v>
      </c>
      <c r="I1" s="8"/>
      <c r="J1" s="6"/>
      <c r="K1" s="2" t="s">
        <v>17</v>
      </c>
      <c r="L1" s="2" t="s">
        <v>20</v>
      </c>
      <c r="M1" s="6"/>
      <c r="N1" s="9"/>
      <c r="O1" s="9"/>
      <c r="P1" s="10" t="s">
        <v>29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" t="s">
        <v>8</v>
      </c>
      <c r="B2" s="1" t="s">
        <v>34</v>
      </c>
      <c r="C2" s="3" t="s">
        <v>35</v>
      </c>
      <c r="D2" s="11">
        <v>200000.0</v>
      </c>
      <c r="F2" s="3"/>
      <c r="H2" s="1">
        <v>21.0</v>
      </c>
      <c r="I2" s="12"/>
      <c r="K2" s="17">
        <f t="shared" ref="K2:K4" si="1">D2*H2/100</f>
        <v>42000</v>
      </c>
      <c r="L2" s="17">
        <f t="shared" ref="L2:L4" si="2">D2*H23</f>
        <v>60000</v>
      </c>
      <c r="P2" s="17">
        <f t="shared" ref="P2:P4" si="3">L2-K2</f>
        <v>18000</v>
      </c>
    </row>
    <row r="3">
      <c r="A3" s="1" t="s">
        <v>8</v>
      </c>
      <c r="B3" s="1" t="s">
        <v>39</v>
      </c>
      <c r="C3" s="3" t="s">
        <v>35</v>
      </c>
      <c r="D3" s="11">
        <v>200000.0</v>
      </c>
      <c r="F3" s="3"/>
      <c r="H3" s="1">
        <v>21.0</v>
      </c>
      <c r="I3" s="12"/>
      <c r="K3" s="17">
        <f t="shared" si="1"/>
        <v>42000</v>
      </c>
      <c r="L3" s="17">
        <f t="shared" si="2"/>
        <v>60000</v>
      </c>
      <c r="P3" s="17">
        <f t="shared" si="3"/>
        <v>18000</v>
      </c>
    </row>
    <row r="4">
      <c r="A4" s="1" t="s">
        <v>8</v>
      </c>
      <c r="B4" s="1" t="s">
        <v>39</v>
      </c>
      <c r="C4" s="3" t="s">
        <v>35</v>
      </c>
      <c r="D4" s="11">
        <v>100000.0</v>
      </c>
      <c r="F4" s="3"/>
      <c r="H4" s="1">
        <v>21.0</v>
      </c>
      <c r="I4" s="12"/>
      <c r="K4" s="17">
        <f t="shared" si="1"/>
        <v>21000</v>
      </c>
      <c r="L4" s="17">
        <f t="shared" si="2"/>
        <v>30000</v>
      </c>
      <c r="P4" s="17">
        <f t="shared" si="3"/>
        <v>9000</v>
      </c>
      <c r="Q4" s="21"/>
    </row>
    <row r="5">
      <c r="A5" s="15" t="s">
        <v>42</v>
      </c>
      <c r="B5" s="20"/>
      <c r="C5" s="12"/>
      <c r="D5" s="19"/>
      <c r="E5" s="15" t="s">
        <v>43</v>
      </c>
      <c r="F5" s="12">
        <v>105000.0</v>
      </c>
      <c r="G5" s="15" t="s">
        <v>44</v>
      </c>
      <c r="I5" s="12"/>
    </row>
    <row r="6">
      <c r="A6" s="1" t="s">
        <v>8</v>
      </c>
      <c r="B6" s="1" t="s">
        <v>45</v>
      </c>
      <c r="C6" s="3" t="s">
        <v>46</v>
      </c>
      <c r="D6" s="11">
        <v>200000.0</v>
      </c>
      <c r="F6" s="3"/>
      <c r="G6" s="20"/>
      <c r="H6" s="1">
        <v>21.0</v>
      </c>
      <c r="I6" s="12"/>
      <c r="K6" s="17">
        <f t="shared" ref="K6:K11" si="4">D6*H6/100</f>
        <v>42000</v>
      </c>
      <c r="L6" s="17">
        <f t="shared" ref="L6:L11" si="5">D6*H$27</f>
        <v>60000</v>
      </c>
      <c r="P6" s="17">
        <f t="shared" ref="P6:P11" si="6">L6-K6</f>
        <v>18000</v>
      </c>
    </row>
    <row r="7">
      <c r="A7" s="1" t="s">
        <v>8</v>
      </c>
      <c r="B7" s="1" t="s">
        <v>45</v>
      </c>
      <c r="C7" s="3" t="s">
        <v>46</v>
      </c>
      <c r="D7" s="11">
        <v>200000.0</v>
      </c>
      <c r="F7" s="3"/>
      <c r="G7" s="20"/>
      <c r="H7" s="1">
        <v>21.0</v>
      </c>
      <c r="I7" s="12"/>
      <c r="K7" s="17">
        <f t="shared" si="4"/>
        <v>42000</v>
      </c>
      <c r="L7" s="17">
        <f t="shared" si="5"/>
        <v>60000</v>
      </c>
      <c r="P7" s="17">
        <f t="shared" si="6"/>
        <v>18000</v>
      </c>
    </row>
    <row r="8">
      <c r="A8" s="1" t="s">
        <v>8</v>
      </c>
      <c r="B8" s="1" t="s">
        <v>45</v>
      </c>
      <c r="C8" s="3" t="s">
        <v>46</v>
      </c>
      <c r="D8" s="11">
        <v>99000.0</v>
      </c>
      <c r="F8" s="3"/>
      <c r="G8" s="20"/>
      <c r="H8" s="1">
        <v>21.0</v>
      </c>
      <c r="I8" s="12"/>
      <c r="K8" s="17">
        <f t="shared" si="4"/>
        <v>20790</v>
      </c>
      <c r="L8" s="17">
        <f t="shared" si="5"/>
        <v>29700</v>
      </c>
      <c r="P8" s="17">
        <f t="shared" si="6"/>
        <v>8910</v>
      </c>
    </row>
    <row r="9">
      <c r="A9" s="1" t="s">
        <v>8</v>
      </c>
      <c r="B9" s="1" t="s">
        <v>45</v>
      </c>
      <c r="C9" s="3" t="s">
        <v>60</v>
      </c>
      <c r="D9" s="11">
        <v>25000.0</v>
      </c>
      <c r="F9" s="3"/>
      <c r="G9" s="20"/>
      <c r="H9" s="1">
        <v>21.0</v>
      </c>
      <c r="I9" s="12"/>
      <c r="K9" s="17">
        <f t="shared" si="4"/>
        <v>5250</v>
      </c>
      <c r="L9" s="17">
        <f t="shared" si="5"/>
        <v>7500</v>
      </c>
      <c r="P9" s="17">
        <f t="shared" si="6"/>
        <v>2250</v>
      </c>
    </row>
    <row r="10">
      <c r="A10" s="1" t="s">
        <v>8</v>
      </c>
      <c r="B10" s="1" t="s">
        <v>61</v>
      </c>
      <c r="C10" s="3" t="s">
        <v>60</v>
      </c>
      <c r="D10" s="11">
        <v>375000.0</v>
      </c>
      <c r="F10" s="3"/>
      <c r="G10" s="20"/>
      <c r="H10" s="1">
        <v>21.0</v>
      </c>
      <c r="I10" s="12"/>
      <c r="K10" s="17">
        <f t="shared" si="4"/>
        <v>78750</v>
      </c>
      <c r="L10" s="17">
        <f t="shared" si="5"/>
        <v>112500</v>
      </c>
      <c r="P10" s="17">
        <f t="shared" si="6"/>
        <v>33750</v>
      </c>
    </row>
    <row r="11">
      <c r="A11" s="1" t="s">
        <v>8</v>
      </c>
      <c r="B11" s="1" t="s">
        <v>61</v>
      </c>
      <c r="C11" s="3" t="s">
        <v>60</v>
      </c>
      <c r="D11" s="11">
        <v>100000.0</v>
      </c>
      <c r="F11" s="3"/>
      <c r="G11" s="20"/>
      <c r="H11" s="1">
        <v>21.0</v>
      </c>
      <c r="I11" s="12"/>
      <c r="K11" s="17">
        <f t="shared" si="4"/>
        <v>21000</v>
      </c>
      <c r="L11" s="17">
        <f t="shared" si="5"/>
        <v>30000</v>
      </c>
      <c r="P11" s="17">
        <f t="shared" si="6"/>
        <v>9000</v>
      </c>
    </row>
    <row r="12">
      <c r="A12" s="15" t="s">
        <v>42</v>
      </c>
      <c r="B12" s="20"/>
      <c r="C12" s="12"/>
      <c r="D12" s="19"/>
      <c r="E12" s="15" t="s">
        <v>63</v>
      </c>
      <c r="F12" s="12">
        <v>105000.0</v>
      </c>
      <c r="G12" s="15" t="s">
        <v>44</v>
      </c>
      <c r="H12" s="20"/>
      <c r="I12" s="12"/>
    </row>
    <row r="13">
      <c r="A13" s="15" t="s">
        <v>42</v>
      </c>
      <c r="B13" s="20"/>
      <c r="C13" s="12"/>
      <c r="D13" s="19"/>
      <c r="E13" s="15" t="s">
        <v>63</v>
      </c>
      <c r="F13" s="12">
        <v>105000.0</v>
      </c>
      <c r="G13" s="15" t="s">
        <v>64</v>
      </c>
      <c r="H13" s="20"/>
      <c r="I13" s="12"/>
    </row>
    <row r="14">
      <c r="A14" s="15" t="s">
        <v>42</v>
      </c>
      <c r="B14" s="15"/>
      <c r="C14" s="12"/>
      <c r="D14" s="19"/>
      <c r="E14" s="15" t="s">
        <v>65</v>
      </c>
      <c r="F14" s="12">
        <v>105000.0</v>
      </c>
      <c r="G14" s="15" t="s">
        <v>67</v>
      </c>
      <c r="H14" s="20"/>
      <c r="I14" s="12"/>
    </row>
    <row r="15">
      <c r="A15" s="1" t="s">
        <v>8</v>
      </c>
      <c r="B15" s="1" t="s">
        <v>68</v>
      </c>
      <c r="C15" s="3" t="s">
        <v>44</v>
      </c>
      <c r="D15" s="11">
        <v>100000.0</v>
      </c>
      <c r="F15" s="3"/>
      <c r="G15" s="20"/>
      <c r="H15" s="1">
        <v>28.0</v>
      </c>
      <c r="I15" s="41"/>
      <c r="K15" s="17">
        <f t="shared" ref="K15:K21" si="7">D15*H15/100</f>
        <v>28000</v>
      </c>
      <c r="L15" s="17">
        <f t="shared" ref="L15:L21" si="8">D15*H$23</f>
        <v>30000</v>
      </c>
      <c r="P15" s="17">
        <f t="shared" ref="P15:P21" si="9">L15-K15</f>
        <v>2000</v>
      </c>
    </row>
    <row r="16">
      <c r="A16" s="1" t="s">
        <v>8</v>
      </c>
      <c r="B16" s="1" t="s">
        <v>73</v>
      </c>
      <c r="C16" s="3" t="s">
        <v>44</v>
      </c>
      <c r="D16" s="11">
        <v>200000.0</v>
      </c>
      <c r="F16" s="3"/>
      <c r="G16" s="20"/>
      <c r="H16" s="1">
        <v>28.0</v>
      </c>
      <c r="I16" s="12"/>
      <c r="K16" s="17">
        <f t="shared" si="7"/>
        <v>56000</v>
      </c>
      <c r="L16" s="17">
        <f t="shared" si="8"/>
        <v>60000</v>
      </c>
      <c r="P16" s="17">
        <f t="shared" si="9"/>
        <v>4000</v>
      </c>
    </row>
    <row r="17">
      <c r="A17" s="1" t="s">
        <v>8</v>
      </c>
      <c r="B17" s="1" t="s">
        <v>73</v>
      </c>
      <c r="C17" s="3" t="s">
        <v>44</v>
      </c>
      <c r="D17" s="11">
        <v>200000.0</v>
      </c>
      <c r="F17" s="3"/>
      <c r="G17" s="20"/>
      <c r="H17" s="1">
        <v>28.0</v>
      </c>
      <c r="I17" s="12"/>
      <c r="K17" s="17">
        <f t="shared" si="7"/>
        <v>56000</v>
      </c>
      <c r="L17" s="17">
        <f t="shared" si="8"/>
        <v>60000</v>
      </c>
      <c r="P17" s="17">
        <f t="shared" si="9"/>
        <v>4000</v>
      </c>
    </row>
    <row r="18">
      <c r="A18" s="1" t="s">
        <v>8</v>
      </c>
      <c r="B18" s="1" t="s">
        <v>73</v>
      </c>
      <c r="C18" s="3" t="s">
        <v>35</v>
      </c>
      <c r="D18" s="11">
        <v>200000.0</v>
      </c>
      <c r="F18" s="3"/>
      <c r="G18" s="20"/>
      <c r="H18" s="1">
        <v>28.0</v>
      </c>
      <c r="I18" s="12"/>
      <c r="K18" s="17">
        <f t="shared" si="7"/>
        <v>56000</v>
      </c>
      <c r="L18" s="17">
        <f t="shared" si="8"/>
        <v>60000</v>
      </c>
      <c r="P18" s="17">
        <f t="shared" si="9"/>
        <v>4000</v>
      </c>
    </row>
    <row r="19">
      <c r="A19" s="1" t="s">
        <v>8</v>
      </c>
      <c r="B19" s="1" t="s">
        <v>81</v>
      </c>
      <c r="C19" s="3" t="s">
        <v>35</v>
      </c>
      <c r="D19" s="11">
        <v>200000.0</v>
      </c>
      <c r="F19" s="3"/>
      <c r="G19" s="20"/>
      <c r="H19" s="1">
        <v>28.0</v>
      </c>
      <c r="I19" s="12"/>
      <c r="K19" s="17">
        <f t="shared" si="7"/>
        <v>56000</v>
      </c>
      <c r="L19" s="17">
        <f t="shared" si="8"/>
        <v>60000</v>
      </c>
      <c r="P19" s="17">
        <f t="shared" si="9"/>
        <v>4000</v>
      </c>
    </row>
    <row r="20">
      <c r="A20" s="1" t="s">
        <v>8</v>
      </c>
      <c r="B20" s="1" t="s">
        <v>81</v>
      </c>
      <c r="C20" s="3" t="s">
        <v>35</v>
      </c>
      <c r="D20" s="11">
        <v>100000.0</v>
      </c>
      <c r="F20" s="3"/>
      <c r="G20" s="20"/>
      <c r="H20" s="1">
        <v>28.0</v>
      </c>
      <c r="I20" s="12"/>
      <c r="K20" s="17">
        <f t="shared" si="7"/>
        <v>28000</v>
      </c>
      <c r="L20" s="17">
        <f t="shared" si="8"/>
        <v>30000</v>
      </c>
      <c r="P20" s="17">
        <f t="shared" si="9"/>
        <v>2000</v>
      </c>
    </row>
    <row r="21">
      <c r="A21" s="1" t="s">
        <v>8</v>
      </c>
      <c r="B21" s="1" t="s">
        <v>86</v>
      </c>
      <c r="C21" s="3" t="s">
        <v>35</v>
      </c>
      <c r="D21" s="11">
        <v>100000.0</v>
      </c>
      <c r="F21" s="3"/>
      <c r="G21" s="20"/>
      <c r="H21" s="1">
        <v>28.0</v>
      </c>
      <c r="I21" s="12"/>
      <c r="K21" s="17">
        <f t="shared" si="7"/>
        <v>28000</v>
      </c>
      <c r="L21" s="17">
        <f t="shared" si="8"/>
        <v>30000</v>
      </c>
      <c r="P21" s="17">
        <f t="shared" si="9"/>
        <v>2000</v>
      </c>
    </row>
    <row r="22">
      <c r="A22" s="15" t="s">
        <v>42</v>
      </c>
      <c r="B22" s="20"/>
      <c r="C22" s="12"/>
      <c r="D22" s="19"/>
      <c r="E22" s="15" t="s">
        <v>87</v>
      </c>
      <c r="F22" s="12">
        <v>588000.0</v>
      </c>
      <c r="G22" s="15" t="s">
        <v>88</v>
      </c>
      <c r="H22" s="15" t="s">
        <v>89</v>
      </c>
      <c r="I22" s="41"/>
    </row>
    <row r="23">
      <c r="A23" s="1" t="s">
        <v>8</v>
      </c>
      <c r="B23" s="1" t="s">
        <v>90</v>
      </c>
      <c r="C23" s="3" t="s">
        <v>64</v>
      </c>
      <c r="D23" s="11">
        <v>200000.0</v>
      </c>
      <c r="F23" s="3"/>
      <c r="H23" s="7">
        <v>0.3</v>
      </c>
      <c r="I23" s="12"/>
    </row>
    <row r="24">
      <c r="A24" s="1" t="s">
        <v>8</v>
      </c>
      <c r="B24" s="1" t="s">
        <v>90</v>
      </c>
      <c r="C24" s="3" t="s">
        <v>64</v>
      </c>
      <c r="D24" s="11">
        <v>200000.0</v>
      </c>
      <c r="F24" s="3"/>
      <c r="H24" s="7">
        <v>0.3</v>
      </c>
      <c r="I24" s="12"/>
    </row>
    <row r="25">
      <c r="A25" s="1" t="s">
        <v>8</v>
      </c>
      <c r="B25" s="1" t="s">
        <v>91</v>
      </c>
      <c r="C25" s="3" t="s">
        <v>64</v>
      </c>
      <c r="D25" s="11">
        <v>200000.0</v>
      </c>
      <c r="F25" s="3"/>
      <c r="H25" s="7">
        <v>0.3</v>
      </c>
      <c r="I25" s="12"/>
    </row>
    <row r="26">
      <c r="A26" s="15" t="s">
        <v>42</v>
      </c>
      <c r="B26" s="20"/>
      <c r="C26" s="12"/>
      <c r="D26" s="19"/>
      <c r="E26" s="15" t="s">
        <v>92</v>
      </c>
      <c r="F26" s="12">
        <v>105000.0</v>
      </c>
      <c r="G26" s="15" t="s">
        <v>93</v>
      </c>
      <c r="H26" s="15" t="s">
        <v>94</v>
      </c>
      <c r="I26" s="41"/>
    </row>
    <row r="27">
      <c r="A27" s="1" t="s">
        <v>8</v>
      </c>
      <c r="B27" s="1" t="s">
        <v>95</v>
      </c>
      <c r="C27" s="3" t="s">
        <v>96</v>
      </c>
      <c r="D27" s="11">
        <v>200000.0</v>
      </c>
      <c r="F27" s="3"/>
      <c r="H27" s="7">
        <v>0.3</v>
      </c>
      <c r="I27" s="12"/>
    </row>
    <row r="28">
      <c r="A28" s="1" t="s">
        <v>8</v>
      </c>
      <c r="B28" s="1" t="s">
        <v>97</v>
      </c>
      <c r="C28" s="3" t="s">
        <v>96</v>
      </c>
      <c r="D28" s="11">
        <v>200000.0</v>
      </c>
      <c r="F28" s="3"/>
      <c r="H28" s="7">
        <v>0.3</v>
      </c>
      <c r="I28" s="12"/>
    </row>
    <row r="29">
      <c r="A29" s="1" t="s">
        <v>8</v>
      </c>
      <c r="B29" s="1" t="s">
        <v>97</v>
      </c>
      <c r="C29" s="3" t="s">
        <v>96</v>
      </c>
      <c r="D29" s="11">
        <v>200000.0</v>
      </c>
      <c r="F29" s="3"/>
      <c r="H29" s="7">
        <v>0.3</v>
      </c>
      <c r="I29" s="12"/>
    </row>
    <row r="30">
      <c r="A30" s="1" t="s">
        <v>8</v>
      </c>
      <c r="B30" s="1" t="s">
        <v>97</v>
      </c>
      <c r="C30" s="3" t="s">
        <v>96</v>
      </c>
      <c r="D30" s="11">
        <v>7000.0</v>
      </c>
      <c r="F30" s="3"/>
      <c r="H30" s="7">
        <v>0.3</v>
      </c>
      <c r="I30" s="12"/>
    </row>
    <row r="31">
      <c r="A31" s="15" t="s">
        <v>42</v>
      </c>
      <c r="B31" s="15"/>
      <c r="C31" s="12"/>
      <c r="D31" s="19"/>
      <c r="E31" s="15" t="s">
        <v>98</v>
      </c>
      <c r="F31" s="12">
        <v>105000.0</v>
      </c>
      <c r="G31" s="15" t="s">
        <v>99</v>
      </c>
      <c r="H31" s="20"/>
      <c r="I31" s="12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1" t="s">
        <v>8</v>
      </c>
      <c r="B32" s="1" t="s">
        <v>98</v>
      </c>
      <c r="C32" s="3" t="s">
        <v>100</v>
      </c>
      <c r="D32" s="11">
        <v>100000.0</v>
      </c>
      <c r="E32" s="1" t="s">
        <v>101</v>
      </c>
      <c r="F32" s="3"/>
      <c r="H32" s="7">
        <v>0.3</v>
      </c>
      <c r="I32" s="41"/>
    </row>
    <row r="33">
      <c r="A33" s="15" t="s">
        <v>42</v>
      </c>
      <c r="B33" s="15"/>
      <c r="C33" s="12"/>
      <c r="D33" s="19"/>
      <c r="E33" s="15" t="s">
        <v>98</v>
      </c>
      <c r="F33" s="41">
        <v>588000.0</v>
      </c>
      <c r="G33" s="15" t="s">
        <v>44</v>
      </c>
      <c r="I33" s="12"/>
    </row>
    <row r="34">
      <c r="A34" s="1" t="s">
        <v>8</v>
      </c>
      <c r="B34" s="1" t="s">
        <v>98</v>
      </c>
      <c r="C34" s="3" t="s">
        <v>44</v>
      </c>
      <c r="D34" s="11">
        <v>500000.0</v>
      </c>
      <c r="E34" s="1" t="s">
        <v>101</v>
      </c>
      <c r="F34" s="13"/>
      <c r="H34" s="7">
        <v>0.3</v>
      </c>
      <c r="I34" s="41"/>
    </row>
    <row r="35">
      <c r="A35" s="15" t="s">
        <v>42</v>
      </c>
      <c r="B35" s="15"/>
      <c r="C35" s="12"/>
      <c r="D35" s="15"/>
      <c r="E35" s="15" t="s">
        <v>102</v>
      </c>
      <c r="F35" s="41">
        <v>630000.0</v>
      </c>
      <c r="G35" s="15"/>
      <c r="I35" s="12"/>
    </row>
    <row r="36">
      <c r="A36" s="1" t="s">
        <v>8</v>
      </c>
      <c r="B36" s="1" t="s">
        <v>102</v>
      </c>
      <c r="C36" s="3" t="s">
        <v>64</v>
      </c>
      <c r="D36" s="11">
        <v>500000.0</v>
      </c>
      <c r="E36" s="1" t="s">
        <v>101</v>
      </c>
      <c r="F36" s="41"/>
      <c r="H36" s="7">
        <v>0.3</v>
      </c>
      <c r="I36" s="3"/>
      <c r="J36" s="15"/>
    </row>
    <row r="37">
      <c r="A37" s="15" t="s">
        <v>42</v>
      </c>
      <c r="B37" s="15"/>
      <c r="C37" s="12"/>
      <c r="D37" s="19"/>
      <c r="E37" s="15" t="s">
        <v>103</v>
      </c>
      <c r="F37" s="41">
        <v>90000.0</v>
      </c>
      <c r="G37" s="15" t="s">
        <v>64</v>
      </c>
      <c r="H37" s="20"/>
      <c r="I37" s="12"/>
      <c r="J37" s="15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15" t="s">
        <v>42</v>
      </c>
      <c r="B38" s="15"/>
      <c r="C38" s="12"/>
      <c r="D38" s="19"/>
      <c r="E38" s="15" t="s">
        <v>104</v>
      </c>
      <c r="F38" s="41">
        <v>150000.0</v>
      </c>
      <c r="G38" s="15" t="s">
        <v>100</v>
      </c>
      <c r="H38" s="20"/>
      <c r="I38" s="12"/>
      <c r="K38" s="13"/>
      <c r="P38" s="14">
        <f>SUM(P2:P21)</f>
        <v>156910</v>
      </c>
    </row>
    <row r="39">
      <c r="A39" s="15" t="s">
        <v>42</v>
      </c>
      <c r="B39" s="15"/>
      <c r="C39" s="12"/>
      <c r="D39" s="19"/>
      <c r="E39" s="15" t="s">
        <v>105</v>
      </c>
      <c r="F39" s="41">
        <v>500000.0</v>
      </c>
      <c r="G39" s="15" t="s">
        <v>44</v>
      </c>
      <c r="H39" s="20"/>
      <c r="I39" s="12"/>
    </row>
    <row r="40">
      <c r="C40" s="13"/>
      <c r="D40" s="14"/>
      <c r="E40" s="15" t="s">
        <v>105</v>
      </c>
      <c r="F40" s="41">
        <v>332000.0</v>
      </c>
      <c r="G40" s="15" t="s">
        <v>44</v>
      </c>
      <c r="I40" s="13"/>
    </row>
    <row r="41">
      <c r="C41" s="13"/>
      <c r="D41" s="14"/>
      <c r="F41" s="13"/>
      <c r="I41" s="13"/>
    </row>
    <row r="42">
      <c r="C42" s="13"/>
      <c r="D42" s="14"/>
      <c r="F42" s="13"/>
      <c r="I42" s="13"/>
    </row>
    <row r="43">
      <c r="C43" s="13"/>
      <c r="D43" s="14"/>
      <c r="F43" s="13"/>
      <c r="I43" s="13"/>
    </row>
    <row r="44">
      <c r="C44" s="13"/>
      <c r="D44" s="14"/>
      <c r="F44" s="13"/>
      <c r="H44" s="15" t="s">
        <v>26</v>
      </c>
      <c r="I44" s="13"/>
      <c r="J44" s="16" t="s">
        <v>106</v>
      </c>
    </row>
    <row r="45">
      <c r="C45" s="13"/>
      <c r="D45" s="19">
        <f>SUM(D2:D38)</f>
        <v>4906000</v>
      </c>
      <c r="E45" s="20"/>
      <c r="F45" s="12">
        <f>SUM(F2:F39)</f>
        <v>3176000</v>
      </c>
      <c r="G45" s="20"/>
      <c r="H45" s="18">
        <f>F45/D45</f>
        <v>0.6473705667</v>
      </c>
      <c r="I45" s="13"/>
      <c r="J45" s="14">
        <f>D45-F45</f>
        <v>1730000</v>
      </c>
    </row>
    <row r="46">
      <c r="C46" s="13"/>
      <c r="D46" s="14"/>
      <c r="F46" s="13"/>
      <c r="I46" s="13"/>
      <c r="J46" s="17">
        <f>J45*2/100</f>
        <v>34600</v>
      </c>
    </row>
    <row r="47">
      <c r="C47" s="13"/>
      <c r="D47" s="14"/>
      <c r="F47" s="13"/>
      <c r="I47" s="13"/>
      <c r="J47" s="17">
        <f t="shared" ref="J47:J48" si="10">J46</f>
        <v>34600</v>
      </c>
    </row>
    <row r="48">
      <c r="C48" s="13"/>
      <c r="D48" s="14"/>
      <c r="F48" s="13"/>
      <c r="I48" s="13"/>
      <c r="J48" s="17">
        <f t="shared" si="10"/>
        <v>34600</v>
      </c>
    </row>
    <row r="49" hidden="1">
      <c r="C49" s="13"/>
      <c r="D49" s="11">
        <v>2.6E7</v>
      </c>
      <c r="F49" s="13"/>
      <c r="I49" s="13"/>
    </row>
    <row r="50" hidden="1">
      <c r="C50" s="13"/>
      <c r="D50" s="11">
        <v>2.6E7</v>
      </c>
      <c r="F50" s="13"/>
      <c r="I50" s="13"/>
    </row>
    <row r="51" hidden="1">
      <c r="C51" s="13"/>
      <c r="D51" s="11">
        <v>6000000.0</v>
      </c>
      <c r="F51" s="13"/>
      <c r="I51" s="13"/>
    </row>
    <row r="52" hidden="1">
      <c r="C52" s="13"/>
      <c r="D52" s="14"/>
      <c r="F52" s="13"/>
      <c r="I52" s="13"/>
    </row>
    <row r="53" hidden="1">
      <c r="C53" s="13"/>
      <c r="D53" s="14"/>
      <c r="F53" s="13"/>
      <c r="I53" s="13"/>
    </row>
    <row r="54" hidden="1">
      <c r="C54" s="3" t="s">
        <v>107</v>
      </c>
      <c r="D54" s="14">
        <f>SUM(D49:D51)</f>
        <v>58000000</v>
      </c>
      <c r="F54" s="13"/>
      <c r="I54" s="13"/>
    </row>
    <row r="55" hidden="1">
      <c r="C55" s="13"/>
      <c r="D55" s="14"/>
      <c r="F55" s="3" t="s">
        <v>108</v>
      </c>
      <c r="I55" s="13"/>
    </row>
    <row r="56" hidden="1">
      <c r="C56" s="3" t="s">
        <v>109</v>
      </c>
      <c r="D56" s="11">
        <v>2016000.0</v>
      </c>
      <c r="F56" s="13">
        <f>D45-D56</f>
        <v>2890000</v>
      </c>
      <c r="H56" s="13">
        <f>F56*5/100</f>
        <v>144500</v>
      </c>
      <c r="I56" s="13"/>
    </row>
    <row r="57" hidden="1">
      <c r="C57" s="13"/>
      <c r="D57" s="14"/>
      <c r="F57" s="13">
        <f>F56*3/100</f>
        <v>86700</v>
      </c>
      <c r="I57" s="13"/>
    </row>
    <row r="58" hidden="1">
      <c r="C58" s="13"/>
      <c r="D58" s="11"/>
      <c r="F58" s="13">
        <f>F57*7</f>
        <v>606900</v>
      </c>
      <c r="I58" s="13"/>
    </row>
    <row r="59" hidden="1">
      <c r="C59" s="13"/>
      <c r="D59" s="14"/>
      <c r="F59" s="13">
        <f>F58+F56</f>
        <v>3496900</v>
      </c>
      <c r="I59" s="13"/>
    </row>
    <row r="60" hidden="1">
      <c r="C60" s="13"/>
      <c r="D60" s="14"/>
      <c r="F60" s="13">
        <f>F59/3</f>
        <v>1165633.333</v>
      </c>
      <c r="I60" s="13"/>
    </row>
    <row r="61" hidden="1">
      <c r="C61" s="13"/>
      <c r="D61" s="14"/>
      <c r="F61" s="13"/>
      <c r="I61" s="13"/>
    </row>
    <row r="62" hidden="1">
      <c r="C62" s="13"/>
      <c r="D62" s="14"/>
      <c r="F62" s="13"/>
      <c r="I62" s="13"/>
    </row>
    <row r="63">
      <c r="C63" s="13"/>
      <c r="D63" s="14"/>
      <c r="F63" s="13"/>
      <c r="I63" s="13"/>
    </row>
    <row r="64">
      <c r="C64" s="13"/>
      <c r="D64" s="14"/>
      <c r="F64" s="13"/>
      <c r="I64" s="13"/>
    </row>
    <row r="65">
      <c r="B65" s="22" t="s">
        <v>41</v>
      </c>
      <c r="C65" s="23"/>
      <c r="D65" s="23"/>
      <c r="E65" s="23"/>
      <c r="F65" s="23"/>
      <c r="G65" s="23"/>
      <c r="H65" s="23"/>
      <c r="I65" s="24"/>
    </row>
    <row r="66">
      <c r="B66" s="27"/>
      <c r="C66" s="28"/>
      <c r="D66" s="28"/>
      <c r="E66" s="28"/>
      <c r="F66" s="28"/>
      <c r="G66" s="28"/>
      <c r="H66" s="28"/>
      <c r="I66" s="29"/>
    </row>
    <row r="67">
      <c r="B67" s="32"/>
      <c r="C67" s="32" t="s">
        <v>49</v>
      </c>
      <c r="D67" s="34" t="s">
        <v>51</v>
      </c>
      <c r="E67" s="32" t="s">
        <v>52</v>
      </c>
      <c r="F67" s="32"/>
      <c r="G67" s="32" t="s">
        <v>54</v>
      </c>
      <c r="H67" s="32" t="s">
        <v>56</v>
      </c>
      <c r="I67" s="37" t="s">
        <v>57</v>
      </c>
    </row>
    <row r="68">
      <c r="A68" s="1" t="s">
        <v>58</v>
      </c>
      <c r="B68" s="1" t="s">
        <v>59</v>
      </c>
      <c r="C68" s="11">
        <f>SUM(D2:D4)</f>
        <v>500000</v>
      </c>
      <c r="D68" s="11">
        <v>2.0</v>
      </c>
      <c r="E68" s="38">
        <v>8.0</v>
      </c>
      <c r="G68" s="17">
        <f t="shared" ref="G68:G72" si="11">C68*D68/100</f>
        <v>10000</v>
      </c>
      <c r="H68" s="17">
        <f t="shared" ref="H68:H72" si="12">G68*E68</f>
        <v>80000</v>
      </c>
      <c r="I68" s="13">
        <f t="shared" ref="I68:I72" si="13">C68+H68</f>
        <v>580000</v>
      </c>
    </row>
    <row r="69">
      <c r="A69" s="1" t="s">
        <v>110</v>
      </c>
      <c r="B69" s="1" t="s">
        <v>111</v>
      </c>
      <c r="C69" s="11">
        <f>SUM(D6:D11)</f>
        <v>999000</v>
      </c>
      <c r="D69" s="11">
        <v>2.0</v>
      </c>
      <c r="E69" s="38">
        <v>7.0</v>
      </c>
      <c r="G69" s="17">
        <f t="shared" si="11"/>
        <v>19980</v>
      </c>
      <c r="H69" s="17">
        <f t="shared" si="12"/>
        <v>139860</v>
      </c>
      <c r="I69" s="13">
        <f t="shared" si="13"/>
        <v>1138860</v>
      </c>
    </row>
    <row r="70">
      <c r="A70" s="1" t="s">
        <v>112</v>
      </c>
      <c r="B70" s="1" t="s">
        <v>113</v>
      </c>
      <c r="C70" s="11">
        <f>sum(D15:D21)</f>
        <v>1100000</v>
      </c>
      <c r="D70" s="11">
        <v>2.0</v>
      </c>
      <c r="E70" s="38">
        <v>6.0</v>
      </c>
      <c r="G70" s="17">
        <f t="shared" si="11"/>
        <v>22000</v>
      </c>
      <c r="H70" s="17">
        <f t="shared" si="12"/>
        <v>132000</v>
      </c>
      <c r="I70" s="13">
        <f t="shared" si="13"/>
        <v>1232000</v>
      </c>
    </row>
    <row r="71">
      <c r="A71" s="1" t="s">
        <v>115</v>
      </c>
      <c r="B71" s="1" t="s">
        <v>116</v>
      </c>
      <c r="C71" s="14">
        <f>sum(D23:D30)</f>
        <v>1207000</v>
      </c>
      <c r="D71" s="11">
        <v>2.0</v>
      </c>
      <c r="E71" s="38">
        <v>5.0</v>
      </c>
      <c r="G71" s="17">
        <f t="shared" si="11"/>
        <v>24140</v>
      </c>
      <c r="H71" s="17">
        <f t="shared" si="12"/>
        <v>120700</v>
      </c>
      <c r="I71" s="13">
        <f t="shared" si="13"/>
        <v>1327700</v>
      </c>
    </row>
    <row r="72">
      <c r="A72" s="1" t="s">
        <v>120</v>
      </c>
      <c r="B72" s="1" t="s">
        <v>121</v>
      </c>
      <c r="C72" s="14">
        <f>sum(D32:D39)</f>
        <v>1100000</v>
      </c>
      <c r="D72" s="11">
        <v>2.0</v>
      </c>
      <c r="E72" s="38">
        <v>4.0</v>
      </c>
      <c r="G72" s="17">
        <f t="shared" si="11"/>
        <v>22000</v>
      </c>
      <c r="H72" s="17">
        <f t="shared" si="12"/>
        <v>88000</v>
      </c>
      <c r="I72" s="13">
        <f t="shared" si="13"/>
        <v>1188000</v>
      </c>
    </row>
    <row r="73">
      <c r="C73" s="14"/>
      <c r="D73" s="14"/>
      <c r="E73" s="40"/>
      <c r="I73" s="13"/>
    </row>
    <row r="74">
      <c r="C74" s="14"/>
      <c r="D74" s="14"/>
      <c r="E74" s="40"/>
      <c r="I74" s="12">
        <f>SUM(I68:I72)</f>
        <v>5466560</v>
      </c>
    </row>
    <row r="75">
      <c r="D75" s="14"/>
      <c r="G75" s="39"/>
      <c r="I75" s="12"/>
    </row>
    <row r="76">
      <c r="D76" s="14"/>
      <c r="G76" s="44" t="s">
        <v>62</v>
      </c>
      <c r="I76" s="12">
        <f>F45</f>
        <v>3176000</v>
      </c>
    </row>
    <row r="77">
      <c r="D77" s="14"/>
      <c r="G77" s="44"/>
      <c r="I77" s="12"/>
    </row>
    <row r="78">
      <c r="D78" s="14"/>
      <c r="G78" s="45"/>
      <c r="I78" s="13"/>
    </row>
    <row r="79">
      <c r="D79" s="14"/>
      <c r="G79" s="44" t="s">
        <v>72</v>
      </c>
      <c r="I79" s="46">
        <f>I74-I76</f>
        <v>2290560</v>
      </c>
      <c r="K79" s="47" t="s">
        <v>69</v>
      </c>
    </row>
    <row r="80">
      <c r="D80" s="14"/>
      <c r="I80" s="13"/>
      <c r="K80" s="12">
        <f>I79/3</f>
        <v>763520</v>
      </c>
      <c r="L80" s="15" t="s">
        <v>79</v>
      </c>
      <c r="M80" s="55">
        <f t="shared" ref="M80:M82" si="14">K80/3</f>
        <v>254506.6667</v>
      </c>
    </row>
    <row r="81">
      <c r="C81" s="14"/>
      <c r="D81" s="14"/>
      <c r="I81" s="13"/>
      <c r="K81" s="12">
        <f t="shared" ref="K81:K82" si="15">K80</f>
        <v>763520</v>
      </c>
      <c r="L81" s="15" t="s">
        <v>82</v>
      </c>
      <c r="M81" s="55">
        <f t="shared" si="14"/>
        <v>254506.6667</v>
      </c>
    </row>
    <row r="82">
      <c r="C82" s="14"/>
      <c r="D82" s="14"/>
      <c r="I82" s="13"/>
      <c r="K82" s="12">
        <f t="shared" si="15"/>
        <v>763520</v>
      </c>
      <c r="L82" s="15" t="s">
        <v>84</v>
      </c>
      <c r="M82" s="55">
        <f t="shared" si="14"/>
        <v>254506.6667</v>
      </c>
    </row>
    <row r="83">
      <c r="C83" s="14"/>
      <c r="D83" s="14"/>
      <c r="I83" s="13"/>
    </row>
    <row r="84">
      <c r="C84" s="14"/>
      <c r="D84" s="14"/>
      <c r="I84" s="13"/>
    </row>
    <row r="85">
      <c r="C85" s="13"/>
      <c r="D85" s="14"/>
      <c r="E85" s="57"/>
      <c r="I85" s="13"/>
    </row>
    <row r="86">
      <c r="C86" s="13"/>
      <c r="D86" s="14"/>
      <c r="F86" s="13"/>
      <c r="I86" s="13"/>
    </row>
    <row r="87">
      <c r="C87" s="13"/>
      <c r="D87" s="14"/>
      <c r="F87" s="13"/>
      <c r="I87" s="13"/>
    </row>
    <row r="88">
      <c r="C88" s="13"/>
      <c r="D88" s="14"/>
      <c r="F88" s="13"/>
      <c r="I88" s="13"/>
    </row>
    <row r="89">
      <c r="C89" s="13"/>
      <c r="D89" s="14"/>
      <c r="F89" s="13"/>
      <c r="I89" s="13"/>
    </row>
    <row r="90">
      <c r="C90" s="13"/>
      <c r="D90" s="14"/>
      <c r="F90" s="13"/>
      <c r="I90" s="13"/>
    </row>
    <row r="91">
      <c r="C91" s="13"/>
      <c r="D91" s="14"/>
      <c r="F91" s="13"/>
      <c r="I91" s="13"/>
    </row>
    <row r="92">
      <c r="C92" s="13"/>
      <c r="D92" s="14"/>
      <c r="F92" s="13"/>
      <c r="I92" s="13"/>
    </row>
    <row r="93">
      <c r="C93" s="13"/>
      <c r="D93" s="14"/>
      <c r="F93" s="13"/>
      <c r="I93" s="13"/>
    </row>
    <row r="94">
      <c r="C94" s="13"/>
      <c r="D94" s="14"/>
      <c r="F94" s="13"/>
      <c r="I94" s="13"/>
    </row>
    <row r="95">
      <c r="C95" s="13"/>
      <c r="D95" s="14"/>
      <c r="F95" s="13"/>
      <c r="I95" s="13"/>
    </row>
    <row r="96">
      <c r="C96" s="13"/>
      <c r="D96" s="14"/>
      <c r="F96" s="13"/>
      <c r="I96" s="13"/>
    </row>
    <row r="97">
      <c r="C97" s="13"/>
      <c r="D97" s="14"/>
      <c r="F97" s="13"/>
      <c r="I97" s="13"/>
    </row>
    <row r="98">
      <c r="C98" s="13"/>
      <c r="D98" s="14"/>
      <c r="F98" s="13"/>
      <c r="I98" s="13"/>
    </row>
    <row r="99">
      <c r="C99" s="13"/>
      <c r="D99" s="14"/>
      <c r="F99" s="13"/>
      <c r="I99" s="13"/>
    </row>
    <row r="100">
      <c r="C100" s="13"/>
      <c r="D100" s="14"/>
      <c r="F100" s="13"/>
      <c r="I100" s="13"/>
    </row>
    <row r="101">
      <c r="C101" s="13"/>
      <c r="D101" s="14"/>
      <c r="F101" s="13"/>
      <c r="I101" s="13"/>
    </row>
    <row r="102">
      <c r="C102" s="13"/>
      <c r="D102" s="14"/>
      <c r="F102" s="13"/>
      <c r="I102" s="13"/>
    </row>
    <row r="103">
      <c r="C103" s="13"/>
      <c r="D103" s="14"/>
      <c r="F103" s="13"/>
      <c r="I103" s="13"/>
    </row>
    <row r="104">
      <c r="C104" s="13"/>
      <c r="D104" s="14"/>
      <c r="F104" s="13"/>
      <c r="I104" s="13"/>
    </row>
    <row r="105">
      <c r="C105" s="13"/>
      <c r="D105" s="14"/>
      <c r="F105" s="13"/>
      <c r="I105" s="13"/>
    </row>
    <row r="106">
      <c r="C106" s="13"/>
      <c r="D106" s="14"/>
      <c r="F106" s="13"/>
      <c r="I106" s="13"/>
    </row>
    <row r="107">
      <c r="C107" s="13"/>
      <c r="D107" s="14"/>
      <c r="F107" s="13"/>
      <c r="I107" s="13"/>
    </row>
    <row r="108">
      <c r="C108" s="13"/>
      <c r="D108" s="14"/>
      <c r="F108" s="13"/>
      <c r="I108" s="13"/>
    </row>
    <row r="109">
      <c r="C109" s="13"/>
      <c r="D109" s="14"/>
      <c r="F109" s="13"/>
      <c r="I109" s="13"/>
    </row>
    <row r="110">
      <c r="C110" s="13"/>
      <c r="D110" s="14"/>
      <c r="F110" s="13"/>
      <c r="I110" s="13"/>
    </row>
    <row r="111">
      <c r="C111" s="13"/>
      <c r="D111" s="14"/>
      <c r="F111" s="13"/>
      <c r="I111" s="13"/>
    </row>
    <row r="112">
      <c r="C112" s="13"/>
      <c r="D112" s="14"/>
      <c r="F112" s="13"/>
      <c r="I112" s="13"/>
    </row>
    <row r="113">
      <c r="C113" s="13"/>
      <c r="D113" s="14"/>
      <c r="F113" s="13"/>
      <c r="I113" s="13"/>
    </row>
    <row r="114">
      <c r="C114" s="13"/>
      <c r="D114" s="14"/>
      <c r="F114" s="13"/>
      <c r="I114" s="13"/>
    </row>
    <row r="115">
      <c r="C115" s="13"/>
      <c r="D115" s="14"/>
      <c r="F115" s="13"/>
      <c r="I115" s="13"/>
    </row>
    <row r="116">
      <c r="C116" s="13"/>
      <c r="D116" s="14"/>
      <c r="F116" s="13"/>
      <c r="I116" s="13"/>
    </row>
    <row r="117">
      <c r="C117" s="13"/>
      <c r="D117" s="14"/>
      <c r="F117" s="13"/>
      <c r="I117" s="13"/>
    </row>
    <row r="118">
      <c r="C118" s="13"/>
      <c r="D118" s="14"/>
      <c r="F118" s="13"/>
      <c r="I118" s="13"/>
    </row>
    <row r="119">
      <c r="C119" s="13"/>
      <c r="D119" s="14"/>
      <c r="F119" s="13"/>
      <c r="I119" s="13"/>
    </row>
    <row r="120">
      <c r="C120" s="13"/>
      <c r="D120" s="14"/>
      <c r="F120" s="13"/>
      <c r="I120" s="13"/>
    </row>
    <row r="121">
      <c r="C121" s="13"/>
      <c r="D121" s="14"/>
      <c r="F121" s="13"/>
      <c r="I121" s="13"/>
    </row>
    <row r="122">
      <c r="C122" s="13"/>
      <c r="D122" s="14"/>
      <c r="F122" s="13"/>
      <c r="I122" s="13"/>
    </row>
    <row r="123">
      <c r="C123" s="13"/>
      <c r="D123" s="14"/>
      <c r="F123" s="13"/>
      <c r="I123" s="13"/>
    </row>
    <row r="124">
      <c r="C124" s="13"/>
      <c r="D124" s="14"/>
      <c r="F124" s="13"/>
      <c r="I124" s="13"/>
    </row>
    <row r="125">
      <c r="C125" s="13"/>
      <c r="D125" s="14"/>
      <c r="F125" s="13"/>
      <c r="I125" s="13"/>
    </row>
    <row r="126">
      <c r="C126" s="13"/>
      <c r="D126" s="14"/>
      <c r="F126" s="13"/>
      <c r="I126" s="13"/>
    </row>
    <row r="127">
      <c r="C127" s="13"/>
      <c r="D127" s="14"/>
      <c r="F127" s="13"/>
      <c r="I127" s="13"/>
    </row>
    <row r="128">
      <c r="C128" s="13"/>
      <c r="D128" s="14"/>
      <c r="F128" s="13"/>
      <c r="I128" s="13"/>
    </row>
    <row r="129">
      <c r="C129" s="13"/>
      <c r="D129" s="14"/>
      <c r="F129" s="13"/>
      <c r="I129" s="13"/>
    </row>
    <row r="130">
      <c r="C130" s="13"/>
      <c r="D130" s="14"/>
      <c r="F130" s="13"/>
      <c r="I130" s="13"/>
    </row>
    <row r="131">
      <c r="C131" s="13"/>
      <c r="D131" s="14"/>
      <c r="F131" s="13"/>
      <c r="I131" s="13"/>
    </row>
    <row r="132">
      <c r="C132" s="13"/>
      <c r="D132" s="14"/>
      <c r="F132" s="13"/>
      <c r="I132" s="13"/>
    </row>
    <row r="133">
      <c r="C133" s="13"/>
      <c r="D133" s="14"/>
      <c r="F133" s="13"/>
      <c r="I133" s="13"/>
    </row>
    <row r="134">
      <c r="C134" s="13"/>
      <c r="D134" s="14"/>
      <c r="F134" s="13"/>
      <c r="I134" s="13"/>
    </row>
    <row r="135">
      <c r="C135" s="13"/>
      <c r="D135" s="14"/>
      <c r="F135" s="13"/>
      <c r="I135" s="13"/>
    </row>
    <row r="136">
      <c r="C136" s="13"/>
      <c r="D136" s="14"/>
      <c r="F136" s="13"/>
      <c r="I136" s="13"/>
    </row>
    <row r="137">
      <c r="C137" s="13"/>
      <c r="D137" s="14"/>
      <c r="F137" s="13"/>
      <c r="I137" s="13"/>
    </row>
    <row r="138">
      <c r="C138" s="13"/>
      <c r="D138" s="14"/>
      <c r="F138" s="13"/>
      <c r="I138" s="13"/>
    </row>
    <row r="139">
      <c r="C139" s="13"/>
      <c r="D139" s="14"/>
      <c r="F139" s="13"/>
      <c r="I139" s="13"/>
    </row>
    <row r="140">
      <c r="C140" s="13"/>
      <c r="D140" s="14"/>
      <c r="F140" s="13"/>
      <c r="I140" s="13"/>
    </row>
    <row r="141">
      <c r="C141" s="13"/>
      <c r="D141" s="14"/>
      <c r="F141" s="13"/>
      <c r="I141" s="13"/>
    </row>
    <row r="142">
      <c r="C142" s="13"/>
      <c r="D142" s="14"/>
      <c r="F142" s="13"/>
      <c r="I142" s="13"/>
    </row>
    <row r="143">
      <c r="C143" s="13"/>
      <c r="D143" s="14"/>
      <c r="F143" s="13"/>
      <c r="I143" s="13"/>
    </row>
    <row r="144">
      <c r="C144" s="13"/>
      <c r="D144" s="14"/>
      <c r="F144" s="13"/>
      <c r="I144" s="13"/>
    </row>
    <row r="145">
      <c r="C145" s="13"/>
      <c r="D145" s="14"/>
      <c r="F145" s="13"/>
      <c r="I145" s="13"/>
    </row>
    <row r="146">
      <c r="C146" s="13"/>
      <c r="D146" s="14"/>
      <c r="F146" s="13"/>
      <c r="I146" s="13"/>
    </row>
    <row r="147">
      <c r="C147" s="13"/>
      <c r="D147" s="14"/>
      <c r="F147" s="13"/>
      <c r="I147" s="13"/>
    </row>
    <row r="148">
      <c r="C148" s="13"/>
      <c r="D148" s="14"/>
      <c r="F148" s="13"/>
      <c r="I148" s="13"/>
    </row>
    <row r="149">
      <c r="C149" s="13"/>
      <c r="D149" s="14"/>
      <c r="F149" s="13"/>
      <c r="I149" s="13"/>
    </row>
    <row r="150">
      <c r="C150" s="13"/>
      <c r="D150" s="14"/>
      <c r="F150" s="13"/>
      <c r="I150" s="13"/>
    </row>
    <row r="151">
      <c r="C151" s="13"/>
      <c r="D151" s="14"/>
      <c r="F151" s="13"/>
      <c r="I151" s="13"/>
    </row>
    <row r="152">
      <c r="C152" s="13"/>
      <c r="D152" s="14"/>
      <c r="F152" s="13"/>
      <c r="I152" s="13"/>
    </row>
    <row r="153">
      <c r="C153" s="13"/>
      <c r="D153" s="14"/>
      <c r="F153" s="13"/>
      <c r="I153" s="13"/>
    </row>
    <row r="154">
      <c r="C154" s="13"/>
      <c r="D154" s="14"/>
      <c r="F154" s="13"/>
      <c r="I154" s="13"/>
    </row>
    <row r="155">
      <c r="C155" s="13"/>
      <c r="D155" s="14"/>
      <c r="F155" s="13"/>
      <c r="I155" s="13"/>
    </row>
    <row r="156">
      <c r="C156" s="13"/>
      <c r="D156" s="14"/>
      <c r="F156" s="13"/>
      <c r="I156" s="13"/>
    </row>
    <row r="157">
      <c r="C157" s="13"/>
      <c r="D157" s="14"/>
      <c r="F157" s="13"/>
      <c r="I157" s="13"/>
    </row>
    <row r="158">
      <c r="C158" s="13"/>
      <c r="D158" s="14"/>
      <c r="F158" s="13"/>
      <c r="I158" s="13"/>
    </row>
    <row r="159">
      <c r="C159" s="13"/>
      <c r="D159" s="14"/>
      <c r="F159" s="13"/>
      <c r="I159" s="13"/>
    </row>
    <row r="160">
      <c r="C160" s="13"/>
      <c r="D160" s="14"/>
      <c r="F160" s="13"/>
      <c r="I160" s="13"/>
    </row>
    <row r="161">
      <c r="C161" s="13"/>
      <c r="D161" s="14"/>
      <c r="F161" s="13"/>
      <c r="I161" s="13"/>
    </row>
    <row r="162">
      <c r="C162" s="13"/>
      <c r="D162" s="14"/>
      <c r="F162" s="13"/>
      <c r="I162" s="13"/>
    </row>
    <row r="163">
      <c r="C163" s="13"/>
      <c r="D163" s="14"/>
      <c r="F163" s="13"/>
      <c r="I163" s="13"/>
    </row>
    <row r="164">
      <c r="C164" s="13"/>
      <c r="D164" s="14"/>
      <c r="F164" s="13"/>
      <c r="I164" s="13"/>
    </row>
    <row r="165">
      <c r="C165" s="13"/>
      <c r="D165" s="14"/>
      <c r="F165" s="13"/>
      <c r="I165" s="13"/>
    </row>
    <row r="166">
      <c r="C166" s="13"/>
      <c r="D166" s="14"/>
      <c r="F166" s="13"/>
      <c r="I166" s="13"/>
    </row>
    <row r="167">
      <c r="C167" s="13"/>
      <c r="D167" s="14"/>
      <c r="F167" s="13"/>
      <c r="I167" s="13"/>
    </row>
    <row r="168">
      <c r="C168" s="13"/>
      <c r="D168" s="14"/>
      <c r="F168" s="13"/>
      <c r="I168" s="13"/>
    </row>
    <row r="169">
      <c r="C169" s="13"/>
      <c r="D169" s="14"/>
      <c r="F169" s="13"/>
      <c r="I169" s="13"/>
    </row>
    <row r="170">
      <c r="C170" s="13"/>
      <c r="D170" s="14"/>
      <c r="F170" s="13"/>
      <c r="I170" s="13"/>
    </row>
    <row r="171">
      <c r="C171" s="13"/>
      <c r="D171" s="14"/>
      <c r="F171" s="13"/>
      <c r="I171" s="13"/>
    </row>
    <row r="172">
      <c r="C172" s="13"/>
      <c r="D172" s="14"/>
      <c r="F172" s="13"/>
      <c r="I172" s="13"/>
    </row>
    <row r="173">
      <c r="C173" s="13"/>
      <c r="D173" s="14"/>
      <c r="F173" s="13"/>
      <c r="I173" s="13"/>
    </row>
    <row r="174">
      <c r="C174" s="13"/>
      <c r="D174" s="14"/>
      <c r="F174" s="13"/>
      <c r="I174" s="13"/>
    </row>
    <row r="175">
      <c r="C175" s="13"/>
      <c r="D175" s="14"/>
      <c r="F175" s="13"/>
      <c r="I175" s="13"/>
    </row>
    <row r="176">
      <c r="C176" s="13"/>
      <c r="D176" s="14"/>
      <c r="F176" s="13"/>
      <c r="I176" s="13"/>
    </row>
    <row r="177">
      <c r="C177" s="13"/>
      <c r="D177" s="14"/>
      <c r="F177" s="13"/>
      <c r="I177" s="13"/>
    </row>
    <row r="178">
      <c r="C178" s="13"/>
      <c r="D178" s="14"/>
      <c r="F178" s="13"/>
      <c r="I178" s="13"/>
    </row>
    <row r="179">
      <c r="C179" s="13"/>
      <c r="D179" s="14"/>
      <c r="F179" s="13"/>
      <c r="I179" s="13"/>
    </row>
    <row r="180">
      <c r="C180" s="13"/>
      <c r="D180" s="14"/>
      <c r="F180" s="13"/>
      <c r="I180" s="13"/>
    </row>
    <row r="181">
      <c r="C181" s="13"/>
      <c r="D181" s="14"/>
      <c r="F181" s="13"/>
      <c r="I181" s="13"/>
    </row>
    <row r="182">
      <c r="C182" s="13"/>
      <c r="D182" s="14"/>
      <c r="F182" s="13"/>
      <c r="I182" s="13"/>
    </row>
    <row r="183">
      <c r="C183" s="13"/>
      <c r="D183" s="14"/>
      <c r="F183" s="13"/>
      <c r="I183" s="13"/>
    </row>
    <row r="184">
      <c r="C184" s="13"/>
      <c r="D184" s="14"/>
      <c r="F184" s="13"/>
      <c r="I184" s="13"/>
    </row>
    <row r="185">
      <c r="C185" s="13"/>
      <c r="D185" s="14"/>
      <c r="F185" s="13"/>
      <c r="I185" s="13"/>
    </row>
    <row r="186">
      <c r="C186" s="13"/>
      <c r="D186" s="14"/>
      <c r="F186" s="13"/>
      <c r="I186" s="13"/>
    </row>
    <row r="187">
      <c r="C187" s="13"/>
      <c r="D187" s="14"/>
      <c r="F187" s="13"/>
      <c r="I187" s="13"/>
    </row>
    <row r="188">
      <c r="C188" s="13"/>
      <c r="D188" s="14"/>
      <c r="F188" s="13"/>
      <c r="I188" s="13"/>
    </row>
    <row r="189">
      <c r="C189" s="13"/>
      <c r="D189" s="14"/>
      <c r="F189" s="13"/>
      <c r="I189" s="13"/>
    </row>
    <row r="190">
      <c r="C190" s="13"/>
      <c r="D190" s="14"/>
      <c r="F190" s="13"/>
      <c r="I190" s="13"/>
    </row>
    <row r="191">
      <c r="C191" s="13"/>
      <c r="D191" s="14"/>
      <c r="F191" s="13"/>
      <c r="I191" s="13"/>
    </row>
    <row r="192">
      <c r="C192" s="13"/>
      <c r="D192" s="14"/>
      <c r="F192" s="13"/>
      <c r="I192" s="13"/>
    </row>
    <row r="193">
      <c r="C193" s="13"/>
      <c r="D193" s="14"/>
      <c r="F193" s="13"/>
      <c r="I193" s="13"/>
    </row>
    <row r="194">
      <c r="C194" s="13"/>
      <c r="D194" s="14"/>
      <c r="F194" s="13"/>
      <c r="I194" s="13"/>
    </row>
    <row r="195">
      <c r="C195" s="13"/>
      <c r="D195" s="14"/>
      <c r="F195" s="13"/>
      <c r="I195" s="13"/>
    </row>
    <row r="196">
      <c r="C196" s="13"/>
      <c r="D196" s="14"/>
      <c r="F196" s="13"/>
      <c r="I196" s="13"/>
    </row>
    <row r="197">
      <c r="C197" s="13"/>
      <c r="D197" s="14"/>
      <c r="F197" s="13"/>
      <c r="I197" s="13"/>
    </row>
    <row r="198">
      <c r="C198" s="13"/>
      <c r="D198" s="14"/>
      <c r="F198" s="13"/>
      <c r="I198" s="13"/>
    </row>
    <row r="199">
      <c r="C199" s="13"/>
      <c r="D199" s="14"/>
      <c r="F199" s="13"/>
      <c r="I199" s="13"/>
    </row>
    <row r="200">
      <c r="C200" s="13"/>
      <c r="D200" s="14"/>
      <c r="F200" s="13"/>
      <c r="I200" s="13"/>
    </row>
    <row r="201">
      <c r="C201" s="13"/>
      <c r="D201" s="14"/>
      <c r="F201" s="13"/>
      <c r="I201" s="13"/>
    </row>
    <row r="202">
      <c r="C202" s="13"/>
      <c r="D202" s="14"/>
      <c r="F202" s="13"/>
      <c r="I202" s="13"/>
    </row>
    <row r="203">
      <c r="C203" s="13"/>
      <c r="D203" s="14"/>
      <c r="F203" s="13"/>
      <c r="I203" s="13"/>
    </row>
    <row r="204">
      <c r="C204" s="13"/>
      <c r="D204" s="14"/>
      <c r="F204" s="13"/>
      <c r="I204" s="13"/>
    </row>
    <row r="205">
      <c r="C205" s="13"/>
      <c r="D205" s="14"/>
      <c r="F205" s="13"/>
      <c r="I205" s="13"/>
    </row>
    <row r="206">
      <c r="C206" s="13"/>
      <c r="D206" s="14"/>
      <c r="F206" s="13"/>
      <c r="I206" s="13"/>
    </row>
    <row r="207">
      <c r="C207" s="13"/>
      <c r="D207" s="14"/>
      <c r="F207" s="13"/>
      <c r="I207" s="13"/>
    </row>
    <row r="208">
      <c r="C208" s="13"/>
      <c r="D208" s="14"/>
      <c r="F208" s="13"/>
      <c r="I208" s="13"/>
    </row>
    <row r="209">
      <c r="C209" s="13"/>
      <c r="D209" s="14"/>
      <c r="F209" s="13"/>
      <c r="I209" s="13"/>
    </row>
    <row r="210">
      <c r="C210" s="13"/>
      <c r="D210" s="14"/>
      <c r="F210" s="13"/>
      <c r="I210" s="13"/>
    </row>
    <row r="211">
      <c r="C211" s="13"/>
      <c r="D211" s="14"/>
      <c r="F211" s="13"/>
      <c r="I211" s="13"/>
    </row>
    <row r="212">
      <c r="C212" s="13"/>
      <c r="D212" s="14"/>
      <c r="F212" s="13"/>
      <c r="I212" s="13"/>
    </row>
    <row r="213">
      <c r="C213" s="13"/>
      <c r="D213" s="14"/>
      <c r="F213" s="13"/>
      <c r="I213" s="13"/>
    </row>
    <row r="214">
      <c r="C214" s="13"/>
      <c r="D214" s="14"/>
      <c r="F214" s="13"/>
      <c r="I214" s="13"/>
    </row>
    <row r="215">
      <c r="C215" s="13"/>
      <c r="D215" s="14"/>
      <c r="F215" s="13"/>
      <c r="I215" s="13"/>
    </row>
    <row r="216">
      <c r="C216" s="13"/>
      <c r="D216" s="14"/>
      <c r="F216" s="13"/>
      <c r="I216" s="13"/>
    </row>
    <row r="217">
      <c r="C217" s="13"/>
      <c r="D217" s="14"/>
      <c r="F217" s="13"/>
      <c r="I217" s="13"/>
    </row>
    <row r="218">
      <c r="C218" s="13"/>
      <c r="D218" s="14"/>
      <c r="F218" s="13"/>
      <c r="I218" s="13"/>
    </row>
    <row r="219">
      <c r="C219" s="13"/>
      <c r="D219" s="14"/>
      <c r="F219" s="13"/>
      <c r="I219" s="13"/>
    </row>
    <row r="220">
      <c r="C220" s="13"/>
      <c r="D220" s="14"/>
      <c r="F220" s="13"/>
      <c r="I220" s="13"/>
    </row>
    <row r="221">
      <c r="C221" s="13"/>
      <c r="D221" s="14"/>
      <c r="F221" s="13"/>
      <c r="I221" s="13"/>
    </row>
    <row r="222">
      <c r="C222" s="13"/>
      <c r="D222" s="14"/>
      <c r="F222" s="13"/>
      <c r="I222" s="13"/>
    </row>
    <row r="223">
      <c r="C223" s="13"/>
      <c r="D223" s="14"/>
      <c r="F223" s="13"/>
      <c r="I223" s="13"/>
    </row>
    <row r="224">
      <c r="C224" s="13"/>
      <c r="D224" s="14"/>
      <c r="F224" s="13"/>
      <c r="I224" s="13"/>
    </row>
    <row r="225">
      <c r="C225" s="13"/>
      <c r="D225" s="14"/>
      <c r="F225" s="13"/>
      <c r="I225" s="13"/>
    </row>
    <row r="226">
      <c r="C226" s="13"/>
      <c r="D226" s="14"/>
      <c r="F226" s="13"/>
      <c r="I226" s="13"/>
    </row>
    <row r="227">
      <c r="C227" s="13"/>
      <c r="D227" s="14"/>
      <c r="F227" s="13"/>
      <c r="I227" s="13"/>
    </row>
    <row r="228">
      <c r="C228" s="13"/>
      <c r="D228" s="14"/>
      <c r="F228" s="13"/>
      <c r="I228" s="13"/>
    </row>
    <row r="229">
      <c r="C229" s="13"/>
      <c r="D229" s="14"/>
      <c r="F229" s="13"/>
      <c r="I229" s="13"/>
    </row>
    <row r="230">
      <c r="C230" s="13"/>
      <c r="D230" s="14"/>
      <c r="F230" s="13"/>
      <c r="I230" s="13"/>
    </row>
    <row r="231">
      <c r="C231" s="13"/>
      <c r="D231" s="14"/>
      <c r="F231" s="13"/>
      <c r="I231" s="13"/>
    </row>
    <row r="232">
      <c r="C232" s="13"/>
      <c r="D232" s="14"/>
      <c r="F232" s="13"/>
      <c r="I232" s="13"/>
    </row>
    <row r="233">
      <c r="C233" s="13"/>
      <c r="D233" s="14"/>
      <c r="F233" s="13"/>
      <c r="I233" s="13"/>
    </row>
    <row r="234">
      <c r="C234" s="13"/>
      <c r="D234" s="14"/>
      <c r="F234" s="13"/>
      <c r="I234" s="13"/>
    </row>
    <row r="235">
      <c r="C235" s="13"/>
      <c r="D235" s="14"/>
      <c r="F235" s="13"/>
      <c r="I235" s="13"/>
    </row>
    <row r="236">
      <c r="C236" s="13"/>
      <c r="D236" s="14"/>
      <c r="F236" s="13"/>
      <c r="I236" s="13"/>
    </row>
    <row r="237">
      <c r="C237" s="13"/>
      <c r="D237" s="14"/>
      <c r="F237" s="13"/>
      <c r="I237" s="13"/>
    </row>
    <row r="238">
      <c r="C238" s="13"/>
      <c r="D238" s="14"/>
      <c r="F238" s="13"/>
      <c r="I238" s="13"/>
    </row>
    <row r="239">
      <c r="C239" s="13"/>
      <c r="D239" s="14"/>
      <c r="F239" s="13"/>
      <c r="I239" s="13"/>
    </row>
    <row r="240">
      <c r="C240" s="13"/>
      <c r="D240" s="14"/>
      <c r="F240" s="13"/>
      <c r="I240" s="13"/>
    </row>
    <row r="241">
      <c r="C241" s="13"/>
      <c r="D241" s="14"/>
      <c r="F241" s="13"/>
      <c r="I241" s="13"/>
    </row>
    <row r="242">
      <c r="C242" s="13"/>
      <c r="D242" s="14"/>
      <c r="F242" s="13"/>
      <c r="I242" s="13"/>
    </row>
    <row r="243">
      <c r="C243" s="13"/>
      <c r="D243" s="14"/>
      <c r="F243" s="13"/>
      <c r="I243" s="13"/>
    </row>
    <row r="244">
      <c r="C244" s="13"/>
      <c r="D244" s="14"/>
      <c r="F244" s="13"/>
      <c r="I244" s="13"/>
    </row>
    <row r="245">
      <c r="C245" s="13"/>
      <c r="D245" s="14"/>
      <c r="F245" s="13"/>
      <c r="I245" s="13"/>
    </row>
    <row r="246">
      <c r="C246" s="13"/>
      <c r="D246" s="14"/>
      <c r="F246" s="13"/>
      <c r="I246" s="13"/>
    </row>
    <row r="247">
      <c r="C247" s="13"/>
      <c r="D247" s="14"/>
      <c r="F247" s="13"/>
      <c r="I247" s="13"/>
    </row>
    <row r="248">
      <c r="C248" s="13"/>
      <c r="D248" s="14"/>
      <c r="F248" s="13"/>
      <c r="I248" s="13"/>
    </row>
    <row r="249">
      <c r="C249" s="13"/>
      <c r="D249" s="14"/>
      <c r="F249" s="13"/>
      <c r="I249" s="13"/>
    </row>
    <row r="250">
      <c r="C250" s="13"/>
      <c r="D250" s="14"/>
      <c r="F250" s="13"/>
      <c r="I250" s="13"/>
    </row>
    <row r="251">
      <c r="C251" s="13"/>
      <c r="D251" s="14"/>
      <c r="F251" s="13"/>
      <c r="I251" s="13"/>
    </row>
    <row r="252">
      <c r="C252" s="13"/>
      <c r="D252" s="14"/>
      <c r="F252" s="13"/>
      <c r="I252" s="13"/>
    </row>
    <row r="253">
      <c r="C253" s="13"/>
      <c r="D253" s="14"/>
      <c r="F253" s="13"/>
      <c r="I253" s="13"/>
    </row>
    <row r="254">
      <c r="C254" s="13"/>
      <c r="D254" s="14"/>
      <c r="F254" s="13"/>
      <c r="I254" s="13"/>
    </row>
    <row r="255">
      <c r="C255" s="13"/>
      <c r="D255" s="14"/>
      <c r="F255" s="13"/>
      <c r="I255" s="13"/>
    </row>
    <row r="256">
      <c r="C256" s="13"/>
      <c r="D256" s="14"/>
      <c r="F256" s="13"/>
      <c r="I256" s="13"/>
    </row>
    <row r="257">
      <c r="C257" s="13"/>
      <c r="D257" s="14"/>
      <c r="F257" s="13"/>
      <c r="I257" s="13"/>
    </row>
    <row r="258">
      <c r="C258" s="13"/>
      <c r="D258" s="14"/>
      <c r="F258" s="13"/>
      <c r="I258" s="13"/>
    </row>
    <row r="259">
      <c r="C259" s="13"/>
      <c r="D259" s="14"/>
      <c r="F259" s="13"/>
      <c r="I259" s="13"/>
    </row>
    <row r="260">
      <c r="C260" s="13"/>
      <c r="D260" s="14"/>
      <c r="F260" s="13"/>
      <c r="I260" s="13"/>
    </row>
    <row r="261">
      <c r="C261" s="13"/>
      <c r="D261" s="14"/>
      <c r="F261" s="13"/>
      <c r="I261" s="13"/>
    </row>
    <row r="262">
      <c r="C262" s="13"/>
      <c r="D262" s="14"/>
      <c r="F262" s="13"/>
      <c r="I262" s="13"/>
    </row>
    <row r="263">
      <c r="C263" s="13"/>
      <c r="D263" s="14"/>
      <c r="F263" s="13"/>
      <c r="I263" s="13"/>
    </row>
    <row r="264">
      <c r="C264" s="13"/>
      <c r="D264" s="14"/>
      <c r="F264" s="13"/>
      <c r="I264" s="13"/>
    </row>
    <row r="265">
      <c r="C265" s="13"/>
      <c r="D265" s="14"/>
      <c r="F265" s="13"/>
      <c r="I265" s="13"/>
    </row>
    <row r="266">
      <c r="C266" s="13"/>
      <c r="D266" s="14"/>
      <c r="F266" s="13"/>
      <c r="I266" s="13"/>
    </row>
    <row r="267">
      <c r="C267" s="13"/>
      <c r="D267" s="14"/>
      <c r="F267" s="13"/>
      <c r="I267" s="13"/>
    </row>
    <row r="268">
      <c r="C268" s="13"/>
      <c r="D268" s="14"/>
      <c r="F268" s="13"/>
      <c r="I268" s="13"/>
    </row>
    <row r="269">
      <c r="C269" s="13"/>
      <c r="D269" s="14"/>
      <c r="F269" s="13"/>
      <c r="I269" s="13"/>
    </row>
    <row r="270">
      <c r="C270" s="13"/>
      <c r="D270" s="14"/>
      <c r="F270" s="13"/>
      <c r="I270" s="13"/>
    </row>
    <row r="271">
      <c r="C271" s="13"/>
      <c r="D271" s="14"/>
      <c r="F271" s="13"/>
      <c r="I271" s="13"/>
    </row>
    <row r="272">
      <c r="C272" s="13"/>
      <c r="D272" s="14"/>
      <c r="F272" s="13"/>
      <c r="I272" s="13"/>
    </row>
    <row r="273">
      <c r="C273" s="13"/>
      <c r="D273" s="14"/>
      <c r="F273" s="13"/>
      <c r="I273" s="13"/>
    </row>
    <row r="274">
      <c r="C274" s="13"/>
      <c r="D274" s="14"/>
      <c r="F274" s="13"/>
      <c r="I274" s="13"/>
    </row>
    <row r="275">
      <c r="C275" s="13"/>
      <c r="D275" s="14"/>
      <c r="F275" s="13"/>
      <c r="I275" s="13"/>
    </row>
    <row r="276">
      <c r="C276" s="13"/>
      <c r="D276" s="14"/>
      <c r="F276" s="13"/>
      <c r="I276" s="13"/>
    </row>
    <row r="277">
      <c r="C277" s="13"/>
      <c r="D277" s="14"/>
      <c r="F277" s="13"/>
      <c r="I277" s="13"/>
    </row>
    <row r="278">
      <c r="C278" s="13"/>
      <c r="D278" s="14"/>
      <c r="F278" s="13"/>
      <c r="I278" s="13"/>
    </row>
    <row r="279">
      <c r="C279" s="13"/>
      <c r="D279" s="14"/>
      <c r="F279" s="13"/>
      <c r="I279" s="13"/>
    </row>
    <row r="280">
      <c r="C280" s="13"/>
      <c r="D280" s="14"/>
      <c r="F280" s="13"/>
      <c r="I280" s="13"/>
    </row>
    <row r="281">
      <c r="C281" s="13"/>
      <c r="D281" s="14"/>
      <c r="F281" s="13"/>
      <c r="I281" s="13"/>
    </row>
    <row r="282">
      <c r="C282" s="13"/>
      <c r="D282" s="14"/>
      <c r="F282" s="13"/>
      <c r="I282" s="13"/>
    </row>
    <row r="283">
      <c r="C283" s="13"/>
      <c r="D283" s="14"/>
      <c r="F283" s="13"/>
      <c r="I283" s="13"/>
    </row>
    <row r="284">
      <c r="C284" s="13"/>
      <c r="D284" s="14"/>
      <c r="F284" s="13"/>
      <c r="I284" s="13"/>
    </row>
    <row r="285">
      <c r="C285" s="13"/>
      <c r="D285" s="14"/>
      <c r="F285" s="13"/>
      <c r="I285" s="13"/>
    </row>
    <row r="286">
      <c r="C286" s="13"/>
      <c r="D286" s="14"/>
      <c r="F286" s="13"/>
      <c r="I286" s="13"/>
    </row>
    <row r="287">
      <c r="C287" s="13"/>
      <c r="D287" s="14"/>
      <c r="F287" s="13"/>
      <c r="I287" s="13"/>
    </row>
    <row r="288">
      <c r="C288" s="13"/>
      <c r="D288" s="14"/>
      <c r="F288" s="13"/>
      <c r="I288" s="13"/>
    </row>
    <row r="289">
      <c r="C289" s="13"/>
      <c r="D289" s="14"/>
      <c r="F289" s="13"/>
      <c r="I289" s="13"/>
    </row>
    <row r="290">
      <c r="C290" s="13"/>
      <c r="D290" s="14"/>
      <c r="F290" s="13"/>
      <c r="I290" s="13"/>
    </row>
    <row r="291">
      <c r="C291" s="13"/>
      <c r="D291" s="14"/>
      <c r="F291" s="13"/>
      <c r="I291" s="13"/>
    </row>
    <row r="292">
      <c r="C292" s="13"/>
      <c r="D292" s="14"/>
      <c r="F292" s="13"/>
      <c r="I292" s="13"/>
    </row>
    <row r="293">
      <c r="C293" s="13"/>
      <c r="D293" s="14"/>
      <c r="F293" s="13"/>
      <c r="I293" s="13"/>
    </row>
    <row r="294">
      <c r="C294" s="13"/>
      <c r="D294" s="14"/>
      <c r="F294" s="13"/>
      <c r="I294" s="13"/>
    </row>
    <row r="295">
      <c r="C295" s="13"/>
      <c r="D295" s="14"/>
      <c r="F295" s="13"/>
      <c r="I295" s="13"/>
    </row>
    <row r="296">
      <c r="C296" s="13"/>
      <c r="D296" s="14"/>
      <c r="F296" s="13"/>
      <c r="I296" s="13"/>
    </row>
    <row r="297">
      <c r="C297" s="13"/>
      <c r="D297" s="14"/>
      <c r="F297" s="13"/>
      <c r="I297" s="13"/>
    </row>
    <row r="298">
      <c r="C298" s="13"/>
      <c r="D298" s="14"/>
      <c r="F298" s="13"/>
      <c r="I298" s="13"/>
    </row>
    <row r="299">
      <c r="C299" s="13"/>
      <c r="D299" s="14"/>
      <c r="F299" s="13"/>
      <c r="I299" s="13"/>
    </row>
    <row r="300">
      <c r="C300" s="13"/>
      <c r="D300" s="14"/>
      <c r="F300" s="13"/>
      <c r="I300" s="13"/>
    </row>
    <row r="301">
      <c r="C301" s="13"/>
      <c r="D301" s="14"/>
      <c r="F301" s="13"/>
      <c r="I301" s="13"/>
    </row>
    <row r="302">
      <c r="C302" s="13"/>
      <c r="D302" s="14"/>
      <c r="F302" s="13"/>
      <c r="I302" s="13"/>
    </row>
    <row r="303">
      <c r="C303" s="13"/>
      <c r="D303" s="14"/>
      <c r="F303" s="13"/>
      <c r="I303" s="13"/>
    </row>
    <row r="304">
      <c r="C304" s="13"/>
      <c r="D304" s="14"/>
      <c r="F304" s="13"/>
      <c r="I304" s="13"/>
    </row>
    <row r="305">
      <c r="C305" s="13"/>
      <c r="D305" s="14"/>
      <c r="F305" s="13"/>
      <c r="I305" s="13"/>
    </row>
    <row r="306">
      <c r="C306" s="13"/>
      <c r="D306" s="14"/>
      <c r="F306" s="13"/>
      <c r="I306" s="13"/>
    </row>
    <row r="307">
      <c r="C307" s="13"/>
      <c r="D307" s="14"/>
      <c r="F307" s="13"/>
      <c r="I307" s="13"/>
    </row>
    <row r="308">
      <c r="C308" s="13"/>
      <c r="D308" s="14"/>
      <c r="F308" s="13"/>
      <c r="I308" s="13"/>
    </row>
    <row r="309">
      <c r="C309" s="13"/>
      <c r="D309" s="14"/>
      <c r="F309" s="13"/>
      <c r="I309" s="13"/>
    </row>
    <row r="310">
      <c r="C310" s="13"/>
      <c r="D310" s="14"/>
      <c r="F310" s="13"/>
      <c r="I310" s="13"/>
    </row>
    <row r="311">
      <c r="C311" s="13"/>
      <c r="D311" s="14"/>
      <c r="F311" s="13"/>
      <c r="I311" s="13"/>
    </row>
    <row r="312">
      <c r="C312" s="13"/>
      <c r="D312" s="14"/>
      <c r="F312" s="13"/>
      <c r="I312" s="13"/>
    </row>
    <row r="313">
      <c r="C313" s="13"/>
      <c r="D313" s="14"/>
      <c r="F313" s="13"/>
      <c r="I313" s="13"/>
    </row>
    <row r="314">
      <c r="C314" s="13"/>
      <c r="D314" s="14"/>
      <c r="F314" s="13"/>
      <c r="I314" s="13"/>
    </row>
    <row r="315">
      <c r="C315" s="13"/>
      <c r="D315" s="14"/>
      <c r="F315" s="13"/>
      <c r="I315" s="13"/>
    </row>
    <row r="316">
      <c r="C316" s="13"/>
      <c r="D316" s="14"/>
      <c r="F316" s="13"/>
      <c r="I316" s="13"/>
    </row>
    <row r="317">
      <c r="C317" s="13"/>
      <c r="D317" s="14"/>
      <c r="F317" s="13"/>
      <c r="I317" s="13"/>
    </row>
    <row r="318">
      <c r="C318" s="13"/>
      <c r="D318" s="14"/>
      <c r="F318" s="13"/>
      <c r="I318" s="13"/>
    </row>
    <row r="319">
      <c r="C319" s="13"/>
      <c r="D319" s="14"/>
      <c r="F319" s="13"/>
      <c r="I319" s="13"/>
    </row>
    <row r="320">
      <c r="C320" s="13"/>
      <c r="D320" s="14"/>
      <c r="F320" s="13"/>
      <c r="I320" s="13"/>
    </row>
    <row r="321">
      <c r="C321" s="13"/>
      <c r="D321" s="14"/>
      <c r="F321" s="13"/>
      <c r="I321" s="13"/>
    </row>
    <row r="322">
      <c r="C322" s="13"/>
      <c r="D322" s="14"/>
      <c r="F322" s="13"/>
      <c r="I322" s="13"/>
    </row>
    <row r="323">
      <c r="C323" s="13"/>
      <c r="D323" s="14"/>
      <c r="F323" s="13"/>
      <c r="I323" s="13"/>
    </row>
    <row r="324">
      <c r="C324" s="13"/>
      <c r="D324" s="14"/>
      <c r="F324" s="13"/>
      <c r="I324" s="13"/>
    </row>
    <row r="325">
      <c r="C325" s="13"/>
      <c r="D325" s="14"/>
      <c r="F325" s="13"/>
      <c r="I325" s="13"/>
    </row>
    <row r="326">
      <c r="C326" s="13"/>
      <c r="D326" s="14"/>
      <c r="F326" s="13"/>
      <c r="I326" s="13"/>
    </row>
    <row r="327">
      <c r="C327" s="13"/>
      <c r="D327" s="14"/>
      <c r="F327" s="13"/>
      <c r="I327" s="13"/>
    </row>
    <row r="328">
      <c r="C328" s="13"/>
      <c r="D328" s="14"/>
      <c r="F328" s="13"/>
      <c r="I328" s="13"/>
    </row>
    <row r="329">
      <c r="C329" s="13"/>
      <c r="D329" s="14"/>
      <c r="F329" s="13"/>
      <c r="I329" s="13"/>
    </row>
    <row r="330">
      <c r="C330" s="13"/>
      <c r="D330" s="14"/>
      <c r="F330" s="13"/>
      <c r="I330" s="13"/>
    </row>
    <row r="331">
      <c r="C331" s="13"/>
      <c r="D331" s="14"/>
      <c r="F331" s="13"/>
      <c r="I331" s="13"/>
    </row>
    <row r="332">
      <c r="C332" s="13"/>
      <c r="D332" s="14"/>
      <c r="F332" s="13"/>
      <c r="I332" s="13"/>
    </row>
    <row r="333">
      <c r="C333" s="13"/>
      <c r="D333" s="14"/>
      <c r="F333" s="13"/>
      <c r="I333" s="13"/>
    </row>
    <row r="334">
      <c r="C334" s="13"/>
      <c r="D334" s="14"/>
      <c r="F334" s="13"/>
      <c r="I334" s="13"/>
    </row>
    <row r="335">
      <c r="C335" s="13"/>
      <c r="D335" s="14"/>
      <c r="F335" s="13"/>
      <c r="I335" s="13"/>
    </row>
    <row r="336">
      <c r="C336" s="13"/>
      <c r="D336" s="14"/>
      <c r="F336" s="13"/>
      <c r="I336" s="13"/>
    </row>
    <row r="337">
      <c r="C337" s="13"/>
      <c r="D337" s="14"/>
      <c r="F337" s="13"/>
      <c r="I337" s="13"/>
    </row>
    <row r="338">
      <c r="C338" s="13"/>
      <c r="D338" s="14"/>
      <c r="F338" s="13"/>
      <c r="I338" s="13"/>
    </row>
    <row r="339">
      <c r="C339" s="13"/>
      <c r="D339" s="14"/>
      <c r="F339" s="13"/>
      <c r="I339" s="13"/>
    </row>
    <row r="340">
      <c r="C340" s="13"/>
      <c r="D340" s="14"/>
      <c r="F340" s="13"/>
      <c r="I340" s="13"/>
    </row>
    <row r="341">
      <c r="C341" s="13"/>
      <c r="D341" s="14"/>
      <c r="F341" s="13"/>
      <c r="I341" s="13"/>
    </row>
    <row r="342">
      <c r="C342" s="13"/>
      <c r="D342" s="14"/>
      <c r="F342" s="13"/>
      <c r="I342" s="13"/>
    </row>
    <row r="343">
      <c r="C343" s="13"/>
      <c r="D343" s="14"/>
      <c r="F343" s="13"/>
      <c r="I343" s="13"/>
    </row>
    <row r="344">
      <c r="C344" s="13"/>
      <c r="D344" s="14"/>
      <c r="F344" s="13"/>
      <c r="I344" s="13"/>
    </row>
    <row r="345">
      <c r="C345" s="13"/>
      <c r="D345" s="14"/>
      <c r="F345" s="13"/>
      <c r="I345" s="13"/>
    </row>
    <row r="346">
      <c r="C346" s="13"/>
      <c r="D346" s="14"/>
      <c r="F346" s="13"/>
      <c r="I346" s="13"/>
    </row>
    <row r="347">
      <c r="C347" s="13"/>
      <c r="D347" s="14"/>
      <c r="F347" s="13"/>
      <c r="I347" s="13"/>
    </row>
    <row r="348">
      <c r="C348" s="13"/>
      <c r="D348" s="14"/>
      <c r="F348" s="13"/>
      <c r="I348" s="13"/>
    </row>
    <row r="349">
      <c r="C349" s="13"/>
      <c r="D349" s="14"/>
      <c r="F349" s="13"/>
      <c r="I349" s="13"/>
    </row>
    <row r="350">
      <c r="C350" s="13"/>
      <c r="D350" s="14"/>
      <c r="F350" s="13"/>
      <c r="I350" s="13"/>
    </row>
    <row r="351">
      <c r="C351" s="13"/>
      <c r="D351" s="14"/>
      <c r="F351" s="13"/>
      <c r="I351" s="13"/>
    </row>
    <row r="352">
      <c r="C352" s="13"/>
      <c r="D352" s="14"/>
      <c r="F352" s="13"/>
      <c r="I352" s="13"/>
    </row>
    <row r="353">
      <c r="C353" s="13"/>
      <c r="D353" s="14"/>
      <c r="F353" s="13"/>
      <c r="I353" s="13"/>
    </row>
    <row r="354">
      <c r="C354" s="13"/>
      <c r="D354" s="14"/>
      <c r="F354" s="13"/>
      <c r="I354" s="13"/>
    </row>
    <row r="355">
      <c r="C355" s="13"/>
      <c r="D355" s="14"/>
      <c r="F355" s="13"/>
      <c r="I355" s="13"/>
    </row>
    <row r="356">
      <c r="C356" s="13"/>
      <c r="D356" s="14"/>
      <c r="F356" s="13"/>
      <c r="I356" s="13"/>
    </row>
    <row r="357">
      <c r="C357" s="13"/>
      <c r="D357" s="14"/>
      <c r="F357" s="13"/>
      <c r="I357" s="13"/>
    </row>
    <row r="358">
      <c r="C358" s="13"/>
      <c r="D358" s="14"/>
      <c r="F358" s="13"/>
      <c r="I358" s="13"/>
    </row>
    <row r="359">
      <c r="C359" s="13"/>
      <c r="D359" s="14"/>
      <c r="F359" s="13"/>
      <c r="I359" s="13"/>
    </row>
    <row r="360">
      <c r="C360" s="13"/>
      <c r="D360" s="14"/>
      <c r="F360" s="13"/>
      <c r="I360" s="13"/>
    </row>
    <row r="361">
      <c r="C361" s="13"/>
      <c r="D361" s="14"/>
      <c r="F361" s="13"/>
      <c r="I361" s="13"/>
    </row>
    <row r="362">
      <c r="C362" s="13"/>
      <c r="D362" s="14"/>
      <c r="F362" s="13"/>
      <c r="I362" s="13"/>
    </row>
    <row r="363">
      <c r="C363" s="13"/>
      <c r="D363" s="14"/>
      <c r="F363" s="13"/>
      <c r="I363" s="13"/>
    </row>
    <row r="364">
      <c r="C364" s="13"/>
      <c r="D364" s="14"/>
      <c r="F364" s="13"/>
      <c r="I364" s="13"/>
    </row>
    <row r="365">
      <c r="C365" s="13"/>
      <c r="D365" s="14"/>
      <c r="F365" s="13"/>
      <c r="I365" s="13"/>
    </row>
    <row r="366">
      <c r="C366" s="13"/>
      <c r="D366" s="14"/>
      <c r="F366" s="13"/>
      <c r="I366" s="13"/>
    </row>
    <row r="367">
      <c r="C367" s="13"/>
      <c r="D367" s="14"/>
      <c r="F367" s="13"/>
      <c r="I367" s="13"/>
    </row>
    <row r="368">
      <c r="C368" s="13"/>
      <c r="D368" s="14"/>
      <c r="F368" s="13"/>
      <c r="I368" s="13"/>
    </row>
    <row r="369">
      <c r="C369" s="13"/>
      <c r="D369" s="14"/>
      <c r="F369" s="13"/>
      <c r="I369" s="13"/>
    </row>
    <row r="370">
      <c r="C370" s="13"/>
      <c r="D370" s="14"/>
      <c r="F370" s="13"/>
      <c r="I370" s="13"/>
    </row>
    <row r="371">
      <c r="C371" s="13"/>
      <c r="D371" s="14"/>
      <c r="F371" s="13"/>
      <c r="I371" s="13"/>
    </row>
    <row r="372">
      <c r="C372" s="13"/>
      <c r="D372" s="14"/>
      <c r="F372" s="13"/>
      <c r="I372" s="13"/>
    </row>
    <row r="373">
      <c r="C373" s="13"/>
      <c r="D373" s="14"/>
      <c r="F373" s="13"/>
      <c r="I373" s="13"/>
    </row>
    <row r="374">
      <c r="C374" s="13"/>
      <c r="D374" s="14"/>
      <c r="F374" s="13"/>
      <c r="I374" s="13"/>
    </row>
    <row r="375">
      <c r="C375" s="13"/>
      <c r="D375" s="14"/>
      <c r="F375" s="13"/>
      <c r="I375" s="13"/>
    </row>
    <row r="376">
      <c r="C376" s="13"/>
      <c r="D376" s="14"/>
      <c r="F376" s="13"/>
      <c r="I376" s="13"/>
    </row>
    <row r="377">
      <c r="C377" s="13"/>
      <c r="D377" s="14"/>
      <c r="F377" s="13"/>
      <c r="I377" s="13"/>
    </row>
    <row r="378">
      <c r="C378" s="13"/>
      <c r="D378" s="14"/>
      <c r="F378" s="13"/>
      <c r="I378" s="13"/>
    </row>
    <row r="379">
      <c r="C379" s="13"/>
      <c r="D379" s="14"/>
      <c r="F379" s="13"/>
      <c r="I379" s="13"/>
    </row>
    <row r="380">
      <c r="C380" s="13"/>
      <c r="D380" s="14"/>
      <c r="F380" s="13"/>
      <c r="I380" s="13"/>
    </row>
    <row r="381">
      <c r="C381" s="13"/>
      <c r="D381" s="14"/>
      <c r="F381" s="13"/>
      <c r="I381" s="13"/>
    </row>
    <row r="382">
      <c r="C382" s="13"/>
      <c r="D382" s="14"/>
      <c r="F382" s="13"/>
      <c r="I382" s="13"/>
    </row>
    <row r="383">
      <c r="C383" s="13"/>
      <c r="D383" s="14"/>
      <c r="F383" s="13"/>
      <c r="I383" s="13"/>
    </row>
    <row r="384">
      <c r="C384" s="13"/>
      <c r="D384" s="14"/>
      <c r="F384" s="13"/>
      <c r="I384" s="13"/>
    </row>
    <row r="385">
      <c r="C385" s="13"/>
      <c r="D385" s="14"/>
      <c r="F385" s="13"/>
      <c r="I385" s="13"/>
    </row>
    <row r="386">
      <c r="C386" s="13"/>
      <c r="D386" s="14"/>
      <c r="F386" s="13"/>
      <c r="I386" s="13"/>
    </row>
    <row r="387">
      <c r="C387" s="13"/>
      <c r="D387" s="14"/>
      <c r="F387" s="13"/>
      <c r="I387" s="13"/>
    </row>
    <row r="388">
      <c r="C388" s="13"/>
      <c r="D388" s="14"/>
      <c r="F388" s="13"/>
      <c r="I388" s="13"/>
    </row>
    <row r="389">
      <c r="C389" s="13"/>
      <c r="D389" s="14"/>
      <c r="F389" s="13"/>
      <c r="I389" s="13"/>
    </row>
    <row r="390">
      <c r="C390" s="13"/>
      <c r="D390" s="14"/>
      <c r="F390" s="13"/>
      <c r="I390" s="13"/>
    </row>
    <row r="391">
      <c r="C391" s="13"/>
      <c r="D391" s="14"/>
      <c r="F391" s="13"/>
      <c r="I391" s="13"/>
    </row>
    <row r="392">
      <c r="C392" s="13"/>
      <c r="D392" s="14"/>
      <c r="F392" s="13"/>
      <c r="I392" s="13"/>
    </row>
    <row r="393">
      <c r="C393" s="13"/>
      <c r="D393" s="14"/>
      <c r="F393" s="13"/>
      <c r="I393" s="13"/>
    </row>
    <row r="394">
      <c r="C394" s="13"/>
      <c r="D394" s="14"/>
      <c r="F394" s="13"/>
      <c r="I394" s="13"/>
    </row>
    <row r="395">
      <c r="C395" s="13"/>
      <c r="D395" s="14"/>
      <c r="F395" s="13"/>
      <c r="I395" s="13"/>
    </row>
    <row r="396">
      <c r="C396" s="13"/>
      <c r="D396" s="14"/>
      <c r="F396" s="13"/>
      <c r="I396" s="13"/>
    </row>
    <row r="397">
      <c r="C397" s="13"/>
      <c r="D397" s="14"/>
      <c r="F397" s="13"/>
      <c r="I397" s="13"/>
    </row>
    <row r="398">
      <c r="C398" s="13"/>
      <c r="D398" s="14"/>
      <c r="F398" s="13"/>
      <c r="I398" s="13"/>
    </row>
    <row r="399">
      <c r="C399" s="13"/>
      <c r="D399" s="14"/>
      <c r="F399" s="13"/>
      <c r="I399" s="13"/>
    </row>
    <row r="400">
      <c r="C400" s="13"/>
      <c r="D400" s="14"/>
      <c r="F400" s="13"/>
      <c r="I400" s="13"/>
    </row>
    <row r="401">
      <c r="C401" s="13"/>
      <c r="D401" s="14"/>
      <c r="F401" s="13"/>
      <c r="I401" s="13"/>
    </row>
    <row r="402">
      <c r="C402" s="13"/>
      <c r="D402" s="14"/>
      <c r="F402" s="13"/>
      <c r="I402" s="13"/>
    </row>
    <row r="403">
      <c r="C403" s="13"/>
      <c r="D403" s="14"/>
      <c r="F403" s="13"/>
      <c r="I403" s="13"/>
    </row>
    <row r="404">
      <c r="C404" s="13"/>
      <c r="D404" s="14"/>
      <c r="F404" s="13"/>
      <c r="I404" s="13"/>
    </row>
    <row r="405">
      <c r="C405" s="13"/>
      <c r="D405" s="14"/>
      <c r="F405" s="13"/>
      <c r="I405" s="13"/>
    </row>
    <row r="406">
      <c r="C406" s="13"/>
      <c r="D406" s="14"/>
      <c r="F406" s="13"/>
      <c r="I406" s="13"/>
    </row>
    <row r="407">
      <c r="C407" s="13"/>
      <c r="D407" s="14"/>
      <c r="F407" s="13"/>
      <c r="I407" s="13"/>
    </row>
    <row r="408">
      <c r="C408" s="13"/>
      <c r="D408" s="14"/>
      <c r="F408" s="13"/>
      <c r="I408" s="13"/>
    </row>
    <row r="409">
      <c r="C409" s="13"/>
      <c r="D409" s="14"/>
      <c r="F409" s="13"/>
      <c r="I409" s="13"/>
    </row>
    <row r="410">
      <c r="C410" s="13"/>
      <c r="D410" s="14"/>
      <c r="F410" s="13"/>
      <c r="I410" s="13"/>
    </row>
    <row r="411">
      <c r="C411" s="13"/>
      <c r="D411" s="14"/>
      <c r="F411" s="13"/>
      <c r="I411" s="13"/>
    </row>
    <row r="412">
      <c r="C412" s="13"/>
      <c r="D412" s="14"/>
      <c r="F412" s="13"/>
      <c r="I412" s="13"/>
    </row>
    <row r="413">
      <c r="C413" s="13"/>
      <c r="D413" s="14"/>
      <c r="F413" s="13"/>
      <c r="I413" s="13"/>
    </row>
    <row r="414">
      <c r="C414" s="13"/>
      <c r="D414" s="14"/>
      <c r="F414" s="13"/>
      <c r="I414" s="13"/>
    </row>
    <row r="415">
      <c r="C415" s="13"/>
      <c r="D415" s="14"/>
      <c r="F415" s="13"/>
      <c r="I415" s="13"/>
    </row>
    <row r="416">
      <c r="C416" s="13"/>
      <c r="D416" s="14"/>
      <c r="F416" s="13"/>
      <c r="I416" s="13"/>
    </row>
    <row r="417">
      <c r="C417" s="13"/>
      <c r="D417" s="14"/>
      <c r="F417" s="13"/>
      <c r="I417" s="13"/>
    </row>
    <row r="418">
      <c r="C418" s="13"/>
      <c r="D418" s="14"/>
      <c r="F418" s="13"/>
      <c r="I418" s="13"/>
    </row>
    <row r="419">
      <c r="C419" s="13"/>
      <c r="D419" s="14"/>
      <c r="F419" s="13"/>
      <c r="I419" s="13"/>
    </row>
    <row r="420">
      <c r="C420" s="13"/>
      <c r="D420" s="14"/>
      <c r="F420" s="13"/>
      <c r="I420" s="13"/>
    </row>
    <row r="421">
      <c r="C421" s="13"/>
      <c r="D421" s="14"/>
      <c r="F421" s="13"/>
      <c r="I421" s="13"/>
    </row>
    <row r="422">
      <c r="C422" s="13"/>
      <c r="D422" s="14"/>
      <c r="F422" s="13"/>
      <c r="I422" s="13"/>
    </row>
    <row r="423">
      <c r="C423" s="13"/>
      <c r="D423" s="14"/>
      <c r="F423" s="13"/>
      <c r="I423" s="13"/>
    </row>
    <row r="424">
      <c r="C424" s="13"/>
      <c r="D424" s="14"/>
      <c r="F424" s="13"/>
      <c r="I424" s="13"/>
    </row>
    <row r="425">
      <c r="C425" s="13"/>
      <c r="D425" s="14"/>
      <c r="F425" s="13"/>
      <c r="I425" s="13"/>
    </row>
    <row r="426">
      <c r="C426" s="13"/>
      <c r="D426" s="14"/>
      <c r="F426" s="13"/>
      <c r="I426" s="13"/>
    </row>
    <row r="427">
      <c r="C427" s="13"/>
      <c r="D427" s="14"/>
      <c r="F427" s="13"/>
      <c r="I427" s="13"/>
    </row>
    <row r="428">
      <c r="C428" s="13"/>
      <c r="D428" s="14"/>
      <c r="F428" s="13"/>
      <c r="I428" s="13"/>
    </row>
    <row r="429">
      <c r="C429" s="13"/>
      <c r="D429" s="14"/>
      <c r="F429" s="13"/>
      <c r="I429" s="13"/>
    </row>
    <row r="430">
      <c r="C430" s="13"/>
      <c r="D430" s="14"/>
      <c r="F430" s="13"/>
      <c r="I430" s="13"/>
    </row>
    <row r="431">
      <c r="C431" s="13"/>
      <c r="D431" s="14"/>
      <c r="F431" s="13"/>
      <c r="I431" s="13"/>
    </row>
    <row r="432">
      <c r="C432" s="13"/>
      <c r="D432" s="14"/>
      <c r="F432" s="13"/>
      <c r="I432" s="13"/>
    </row>
    <row r="433">
      <c r="C433" s="13"/>
      <c r="D433" s="14"/>
      <c r="F433" s="13"/>
      <c r="I433" s="13"/>
    </row>
    <row r="434">
      <c r="C434" s="13"/>
      <c r="D434" s="14"/>
      <c r="F434" s="13"/>
      <c r="I434" s="13"/>
    </row>
    <row r="435">
      <c r="C435" s="13"/>
      <c r="D435" s="14"/>
      <c r="F435" s="13"/>
      <c r="I435" s="13"/>
    </row>
    <row r="436">
      <c r="C436" s="13"/>
      <c r="D436" s="14"/>
      <c r="F436" s="13"/>
      <c r="I436" s="13"/>
    </row>
    <row r="437">
      <c r="C437" s="13"/>
      <c r="D437" s="14"/>
      <c r="F437" s="13"/>
      <c r="I437" s="13"/>
    </row>
    <row r="438">
      <c r="C438" s="13"/>
      <c r="D438" s="14"/>
      <c r="F438" s="13"/>
      <c r="I438" s="13"/>
    </row>
    <row r="439">
      <c r="C439" s="13"/>
      <c r="D439" s="14"/>
      <c r="F439" s="13"/>
      <c r="I439" s="13"/>
    </row>
    <row r="440">
      <c r="C440" s="13"/>
      <c r="D440" s="14"/>
      <c r="F440" s="13"/>
      <c r="I440" s="13"/>
    </row>
    <row r="441">
      <c r="C441" s="13"/>
      <c r="D441" s="14"/>
      <c r="F441" s="13"/>
      <c r="I441" s="13"/>
    </row>
    <row r="442">
      <c r="C442" s="13"/>
      <c r="D442" s="14"/>
      <c r="F442" s="13"/>
      <c r="I442" s="13"/>
    </row>
    <row r="443">
      <c r="C443" s="13"/>
      <c r="D443" s="14"/>
      <c r="F443" s="13"/>
      <c r="I443" s="13"/>
    </row>
    <row r="444">
      <c r="C444" s="13"/>
      <c r="D444" s="14"/>
      <c r="F444" s="13"/>
      <c r="I444" s="13"/>
    </row>
    <row r="445">
      <c r="C445" s="13"/>
      <c r="D445" s="14"/>
      <c r="F445" s="13"/>
      <c r="I445" s="13"/>
    </row>
    <row r="446">
      <c r="C446" s="13"/>
      <c r="D446" s="14"/>
      <c r="F446" s="13"/>
      <c r="I446" s="13"/>
    </row>
    <row r="447">
      <c r="C447" s="13"/>
      <c r="D447" s="14"/>
      <c r="F447" s="13"/>
      <c r="I447" s="13"/>
    </row>
    <row r="448">
      <c r="C448" s="13"/>
      <c r="D448" s="14"/>
      <c r="F448" s="13"/>
      <c r="I448" s="13"/>
    </row>
    <row r="449">
      <c r="C449" s="13"/>
      <c r="D449" s="14"/>
      <c r="F449" s="13"/>
      <c r="I449" s="13"/>
    </row>
    <row r="450">
      <c r="C450" s="13"/>
      <c r="D450" s="14"/>
      <c r="F450" s="13"/>
      <c r="I450" s="13"/>
    </row>
    <row r="451">
      <c r="C451" s="13"/>
      <c r="D451" s="14"/>
      <c r="F451" s="13"/>
      <c r="I451" s="13"/>
    </row>
    <row r="452">
      <c r="C452" s="13"/>
      <c r="D452" s="14"/>
      <c r="F452" s="13"/>
      <c r="I452" s="13"/>
    </row>
    <row r="453">
      <c r="C453" s="13"/>
      <c r="D453" s="14"/>
      <c r="F453" s="13"/>
      <c r="I453" s="13"/>
    </row>
    <row r="454">
      <c r="C454" s="13"/>
      <c r="D454" s="14"/>
      <c r="F454" s="13"/>
      <c r="I454" s="13"/>
    </row>
    <row r="455">
      <c r="C455" s="13"/>
      <c r="D455" s="14"/>
      <c r="F455" s="13"/>
      <c r="I455" s="13"/>
    </row>
    <row r="456">
      <c r="C456" s="13"/>
      <c r="D456" s="14"/>
      <c r="F456" s="13"/>
      <c r="I456" s="13"/>
    </row>
    <row r="457">
      <c r="C457" s="13"/>
      <c r="D457" s="14"/>
      <c r="F457" s="13"/>
      <c r="I457" s="13"/>
    </row>
    <row r="458">
      <c r="C458" s="13"/>
      <c r="D458" s="14"/>
      <c r="F458" s="13"/>
      <c r="I458" s="13"/>
    </row>
    <row r="459">
      <c r="C459" s="13"/>
      <c r="D459" s="14"/>
      <c r="F459" s="13"/>
      <c r="I459" s="13"/>
    </row>
    <row r="460">
      <c r="C460" s="13"/>
      <c r="D460" s="14"/>
      <c r="F460" s="13"/>
      <c r="I460" s="13"/>
    </row>
    <row r="461">
      <c r="C461" s="13"/>
      <c r="D461" s="14"/>
      <c r="F461" s="13"/>
      <c r="I461" s="13"/>
    </row>
    <row r="462">
      <c r="C462" s="13"/>
      <c r="D462" s="14"/>
      <c r="F462" s="13"/>
      <c r="I462" s="13"/>
    </row>
    <row r="463">
      <c r="C463" s="13"/>
      <c r="D463" s="14"/>
      <c r="F463" s="13"/>
      <c r="I463" s="13"/>
    </row>
    <row r="464">
      <c r="C464" s="13"/>
      <c r="D464" s="14"/>
      <c r="F464" s="13"/>
      <c r="I464" s="13"/>
    </row>
    <row r="465">
      <c r="C465" s="13"/>
      <c r="D465" s="14"/>
      <c r="F465" s="13"/>
      <c r="I465" s="13"/>
    </row>
    <row r="466">
      <c r="C466" s="13"/>
      <c r="D466" s="14"/>
      <c r="F466" s="13"/>
      <c r="I466" s="13"/>
    </row>
    <row r="467">
      <c r="C467" s="13"/>
      <c r="D467" s="14"/>
      <c r="F467" s="13"/>
      <c r="I467" s="13"/>
    </row>
    <row r="468">
      <c r="C468" s="13"/>
      <c r="D468" s="14"/>
      <c r="F468" s="13"/>
      <c r="I468" s="13"/>
    </row>
    <row r="469">
      <c r="C469" s="13"/>
      <c r="D469" s="14"/>
      <c r="F469" s="13"/>
      <c r="I469" s="13"/>
    </row>
    <row r="470">
      <c r="C470" s="13"/>
      <c r="D470" s="14"/>
      <c r="F470" s="13"/>
      <c r="I470" s="13"/>
    </row>
    <row r="471">
      <c r="C471" s="13"/>
      <c r="D471" s="14"/>
      <c r="F471" s="13"/>
      <c r="I471" s="13"/>
    </row>
    <row r="472">
      <c r="C472" s="13"/>
      <c r="D472" s="14"/>
      <c r="F472" s="13"/>
      <c r="I472" s="13"/>
    </row>
    <row r="473">
      <c r="C473" s="13"/>
      <c r="D473" s="14"/>
      <c r="F473" s="13"/>
      <c r="I473" s="13"/>
    </row>
    <row r="474">
      <c r="C474" s="13"/>
      <c r="D474" s="14"/>
      <c r="F474" s="13"/>
      <c r="I474" s="13"/>
    </row>
    <row r="475">
      <c r="C475" s="13"/>
      <c r="D475" s="14"/>
      <c r="F475" s="13"/>
      <c r="I475" s="13"/>
    </row>
    <row r="476">
      <c r="C476" s="13"/>
      <c r="D476" s="14"/>
      <c r="F476" s="13"/>
      <c r="I476" s="13"/>
    </row>
    <row r="477">
      <c r="C477" s="13"/>
      <c r="D477" s="14"/>
      <c r="F477" s="13"/>
      <c r="I477" s="13"/>
    </row>
    <row r="478">
      <c r="C478" s="13"/>
      <c r="D478" s="14"/>
      <c r="F478" s="13"/>
      <c r="I478" s="13"/>
    </row>
    <row r="479">
      <c r="C479" s="13"/>
      <c r="D479" s="14"/>
      <c r="F479" s="13"/>
      <c r="I479" s="13"/>
    </row>
    <row r="480">
      <c r="C480" s="13"/>
      <c r="D480" s="14"/>
      <c r="F480" s="13"/>
      <c r="I480" s="13"/>
    </row>
    <row r="481">
      <c r="C481" s="13"/>
      <c r="D481" s="14"/>
      <c r="F481" s="13"/>
      <c r="I481" s="13"/>
    </row>
    <row r="482">
      <c r="C482" s="13"/>
      <c r="D482" s="14"/>
      <c r="F482" s="13"/>
      <c r="I482" s="13"/>
    </row>
    <row r="483">
      <c r="C483" s="13"/>
      <c r="D483" s="14"/>
      <c r="F483" s="13"/>
      <c r="I483" s="13"/>
    </row>
    <row r="484">
      <c r="C484" s="13"/>
      <c r="D484" s="14"/>
      <c r="F484" s="13"/>
      <c r="I484" s="13"/>
    </row>
    <row r="485">
      <c r="C485" s="13"/>
      <c r="D485" s="14"/>
      <c r="F485" s="13"/>
      <c r="I485" s="13"/>
    </row>
    <row r="486">
      <c r="C486" s="13"/>
      <c r="D486" s="14"/>
      <c r="F486" s="13"/>
      <c r="I486" s="13"/>
    </row>
    <row r="487">
      <c r="C487" s="13"/>
      <c r="D487" s="14"/>
      <c r="F487" s="13"/>
      <c r="I487" s="13"/>
    </row>
    <row r="488">
      <c r="C488" s="13"/>
      <c r="D488" s="14"/>
      <c r="F488" s="13"/>
      <c r="I488" s="13"/>
    </row>
    <row r="489">
      <c r="C489" s="13"/>
      <c r="D489" s="14"/>
      <c r="F489" s="13"/>
      <c r="I489" s="13"/>
    </row>
    <row r="490">
      <c r="C490" s="13"/>
      <c r="D490" s="14"/>
      <c r="F490" s="13"/>
      <c r="I490" s="13"/>
    </row>
    <row r="491">
      <c r="C491" s="13"/>
      <c r="D491" s="14"/>
      <c r="F491" s="13"/>
      <c r="I491" s="13"/>
    </row>
    <row r="492">
      <c r="C492" s="13"/>
      <c r="D492" s="14"/>
      <c r="F492" s="13"/>
      <c r="I492" s="13"/>
    </row>
    <row r="493">
      <c r="C493" s="13"/>
      <c r="D493" s="14"/>
      <c r="F493" s="13"/>
      <c r="I493" s="13"/>
    </row>
    <row r="494">
      <c r="C494" s="13"/>
      <c r="D494" s="14"/>
      <c r="F494" s="13"/>
      <c r="I494" s="13"/>
    </row>
    <row r="495">
      <c r="C495" s="13"/>
      <c r="D495" s="14"/>
      <c r="F495" s="13"/>
      <c r="I495" s="13"/>
    </row>
    <row r="496">
      <c r="C496" s="13"/>
      <c r="D496" s="14"/>
      <c r="F496" s="13"/>
      <c r="I496" s="13"/>
    </row>
    <row r="497">
      <c r="C497" s="13"/>
      <c r="D497" s="14"/>
      <c r="F497" s="13"/>
      <c r="I497" s="13"/>
    </row>
    <row r="498">
      <c r="C498" s="13"/>
      <c r="D498" s="14"/>
      <c r="F498" s="13"/>
      <c r="I498" s="13"/>
    </row>
    <row r="499">
      <c r="C499" s="13"/>
      <c r="D499" s="14"/>
      <c r="F499" s="13"/>
      <c r="I499" s="13"/>
    </row>
    <row r="500">
      <c r="C500" s="13"/>
      <c r="D500" s="14"/>
      <c r="F500" s="13"/>
      <c r="I500" s="13"/>
    </row>
    <row r="501">
      <c r="C501" s="13"/>
      <c r="D501" s="14"/>
      <c r="F501" s="13"/>
      <c r="I501" s="13"/>
    </row>
    <row r="502">
      <c r="C502" s="13"/>
      <c r="D502" s="14"/>
      <c r="F502" s="13"/>
      <c r="I502" s="13"/>
    </row>
    <row r="503">
      <c r="C503" s="13"/>
      <c r="D503" s="14"/>
      <c r="F503" s="13"/>
      <c r="I503" s="13"/>
    </row>
    <row r="504">
      <c r="C504" s="13"/>
      <c r="D504" s="14"/>
      <c r="F504" s="13"/>
      <c r="I504" s="13"/>
    </row>
    <row r="505">
      <c r="C505" s="13"/>
      <c r="D505" s="14"/>
      <c r="F505" s="13"/>
      <c r="I505" s="13"/>
    </row>
    <row r="506">
      <c r="C506" s="13"/>
      <c r="D506" s="14"/>
      <c r="F506" s="13"/>
      <c r="I506" s="13"/>
    </row>
    <row r="507">
      <c r="C507" s="13"/>
      <c r="D507" s="14"/>
      <c r="F507" s="13"/>
      <c r="I507" s="13"/>
    </row>
    <row r="508">
      <c r="C508" s="13"/>
      <c r="D508" s="14"/>
      <c r="F508" s="13"/>
      <c r="I508" s="13"/>
    </row>
    <row r="509">
      <c r="C509" s="13"/>
      <c r="D509" s="14"/>
      <c r="F509" s="13"/>
      <c r="I509" s="13"/>
    </row>
    <row r="510">
      <c r="C510" s="13"/>
      <c r="D510" s="14"/>
      <c r="F510" s="13"/>
      <c r="I510" s="13"/>
    </row>
    <row r="511">
      <c r="C511" s="13"/>
      <c r="D511" s="14"/>
      <c r="F511" s="13"/>
      <c r="I511" s="13"/>
    </row>
    <row r="512">
      <c r="C512" s="13"/>
      <c r="D512" s="14"/>
      <c r="F512" s="13"/>
      <c r="I512" s="13"/>
    </row>
    <row r="513">
      <c r="C513" s="13"/>
      <c r="D513" s="14"/>
      <c r="F513" s="13"/>
      <c r="I513" s="13"/>
    </row>
    <row r="514">
      <c r="C514" s="13"/>
      <c r="D514" s="14"/>
      <c r="F514" s="13"/>
      <c r="I514" s="13"/>
    </row>
    <row r="515">
      <c r="C515" s="13"/>
      <c r="D515" s="14"/>
      <c r="F515" s="13"/>
      <c r="I515" s="13"/>
    </row>
    <row r="516">
      <c r="C516" s="13"/>
      <c r="D516" s="14"/>
      <c r="F516" s="13"/>
      <c r="I516" s="13"/>
    </row>
    <row r="517">
      <c r="C517" s="13"/>
      <c r="D517" s="14"/>
      <c r="F517" s="13"/>
      <c r="I517" s="13"/>
    </row>
    <row r="518">
      <c r="C518" s="13"/>
      <c r="D518" s="14"/>
      <c r="F518" s="13"/>
      <c r="I518" s="13"/>
    </row>
    <row r="519">
      <c r="C519" s="13"/>
      <c r="D519" s="14"/>
      <c r="F519" s="13"/>
      <c r="I519" s="13"/>
    </row>
    <row r="520">
      <c r="C520" s="13"/>
      <c r="D520" s="14"/>
      <c r="F520" s="13"/>
      <c r="I520" s="13"/>
    </row>
    <row r="521">
      <c r="C521" s="13"/>
      <c r="D521" s="14"/>
      <c r="F521" s="13"/>
      <c r="I521" s="13"/>
    </row>
    <row r="522">
      <c r="C522" s="13"/>
      <c r="D522" s="14"/>
      <c r="F522" s="13"/>
      <c r="I522" s="13"/>
    </row>
    <row r="523">
      <c r="C523" s="13"/>
      <c r="D523" s="14"/>
      <c r="F523" s="13"/>
      <c r="I523" s="13"/>
    </row>
    <row r="524">
      <c r="C524" s="13"/>
      <c r="D524" s="14"/>
      <c r="F524" s="13"/>
      <c r="I524" s="13"/>
    </row>
    <row r="525">
      <c r="C525" s="13"/>
      <c r="D525" s="14"/>
      <c r="F525" s="13"/>
      <c r="I525" s="13"/>
    </row>
    <row r="526">
      <c r="C526" s="13"/>
      <c r="D526" s="14"/>
      <c r="F526" s="13"/>
      <c r="I526" s="13"/>
    </row>
    <row r="527">
      <c r="C527" s="13"/>
      <c r="D527" s="14"/>
      <c r="F527" s="13"/>
      <c r="I527" s="13"/>
    </row>
    <row r="528">
      <c r="C528" s="13"/>
      <c r="D528" s="14"/>
      <c r="F528" s="13"/>
      <c r="I528" s="13"/>
    </row>
    <row r="529">
      <c r="C529" s="13"/>
      <c r="D529" s="14"/>
      <c r="F529" s="13"/>
      <c r="I529" s="13"/>
    </row>
    <row r="530">
      <c r="C530" s="13"/>
      <c r="D530" s="14"/>
      <c r="F530" s="13"/>
      <c r="I530" s="13"/>
    </row>
    <row r="531">
      <c r="C531" s="13"/>
      <c r="D531" s="14"/>
      <c r="F531" s="13"/>
      <c r="I531" s="13"/>
    </row>
    <row r="532">
      <c r="C532" s="13"/>
      <c r="D532" s="14"/>
      <c r="F532" s="13"/>
      <c r="I532" s="13"/>
    </row>
    <row r="533">
      <c r="C533" s="13"/>
      <c r="D533" s="14"/>
      <c r="F533" s="13"/>
      <c r="I533" s="13"/>
    </row>
    <row r="534">
      <c r="C534" s="13"/>
      <c r="D534" s="14"/>
      <c r="F534" s="13"/>
      <c r="I534" s="13"/>
    </row>
    <row r="535">
      <c r="C535" s="13"/>
      <c r="D535" s="14"/>
      <c r="F535" s="13"/>
      <c r="I535" s="13"/>
    </row>
    <row r="536">
      <c r="C536" s="13"/>
      <c r="D536" s="14"/>
      <c r="F536" s="13"/>
      <c r="I536" s="13"/>
    </row>
    <row r="537">
      <c r="C537" s="13"/>
      <c r="D537" s="14"/>
      <c r="F537" s="13"/>
      <c r="I537" s="13"/>
    </row>
    <row r="538">
      <c r="C538" s="13"/>
      <c r="D538" s="14"/>
      <c r="F538" s="13"/>
      <c r="I538" s="13"/>
    </row>
    <row r="539">
      <c r="C539" s="13"/>
      <c r="D539" s="14"/>
      <c r="F539" s="13"/>
      <c r="I539" s="13"/>
    </row>
    <row r="540">
      <c r="C540" s="13"/>
      <c r="D540" s="14"/>
      <c r="F540" s="13"/>
      <c r="I540" s="13"/>
    </row>
    <row r="541">
      <c r="C541" s="13"/>
      <c r="D541" s="14"/>
      <c r="F541" s="13"/>
      <c r="I541" s="13"/>
    </row>
    <row r="542">
      <c r="C542" s="13"/>
      <c r="D542" s="14"/>
      <c r="F542" s="13"/>
      <c r="I542" s="13"/>
    </row>
    <row r="543">
      <c r="C543" s="13"/>
      <c r="D543" s="14"/>
      <c r="F543" s="13"/>
      <c r="I543" s="13"/>
    </row>
    <row r="544">
      <c r="C544" s="13"/>
      <c r="D544" s="14"/>
      <c r="F544" s="13"/>
      <c r="I544" s="13"/>
    </row>
    <row r="545">
      <c r="C545" s="13"/>
      <c r="D545" s="14"/>
      <c r="F545" s="13"/>
      <c r="I545" s="13"/>
    </row>
    <row r="546">
      <c r="C546" s="13"/>
      <c r="D546" s="14"/>
      <c r="F546" s="13"/>
      <c r="I546" s="13"/>
    </row>
    <row r="547">
      <c r="C547" s="13"/>
      <c r="D547" s="14"/>
      <c r="F547" s="13"/>
      <c r="I547" s="13"/>
    </row>
    <row r="548">
      <c r="C548" s="13"/>
      <c r="D548" s="14"/>
      <c r="F548" s="13"/>
      <c r="I548" s="13"/>
    </row>
    <row r="549">
      <c r="C549" s="13"/>
      <c r="D549" s="14"/>
      <c r="F549" s="13"/>
      <c r="I549" s="13"/>
    </row>
    <row r="550">
      <c r="C550" s="13"/>
      <c r="D550" s="14"/>
      <c r="F550" s="13"/>
      <c r="I550" s="13"/>
    </row>
    <row r="551">
      <c r="C551" s="13"/>
      <c r="D551" s="14"/>
      <c r="F551" s="13"/>
      <c r="I551" s="13"/>
    </row>
    <row r="552">
      <c r="C552" s="13"/>
      <c r="D552" s="14"/>
      <c r="F552" s="13"/>
      <c r="I552" s="13"/>
    </row>
    <row r="553">
      <c r="C553" s="13"/>
      <c r="D553" s="14"/>
      <c r="F553" s="13"/>
      <c r="I553" s="13"/>
    </row>
    <row r="554">
      <c r="C554" s="13"/>
      <c r="D554" s="14"/>
      <c r="F554" s="13"/>
      <c r="I554" s="13"/>
    </row>
    <row r="555">
      <c r="C555" s="13"/>
      <c r="D555" s="14"/>
      <c r="F555" s="13"/>
      <c r="I555" s="13"/>
    </row>
    <row r="556">
      <c r="C556" s="13"/>
      <c r="D556" s="14"/>
      <c r="F556" s="13"/>
      <c r="I556" s="13"/>
    </row>
    <row r="557">
      <c r="C557" s="13"/>
      <c r="D557" s="14"/>
      <c r="F557" s="13"/>
      <c r="I557" s="13"/>
    </row>
    <row r="558">
      <c r="C558" s="13"/>
      <c r="D558" s="14"/>
      <c r="F558" s="13"/>
      <c r="I558" s="13"/>
    </row>
    <row r="559">
      <c r="C559" s="13"/>
      <c r="D559" s="14"/>
      <c r="F559" s="13"/>
      <c r="I559" s="13"/>
    </row>
    <row r="560">
      <c r="C560" s="13"/>
      <c r="D560" s="14"/>
      <c r="F560" s="13"/>
      <c r="I560" s="13"/>
    </row>
    <row r="561">
      <c r="C561" s="13"/>
      <c r="D561" s="14"/>
      <c r="F561" s="13"/>
      <c r="I561" s="13"/>
    </row>
    <row r="562">
      <c r="C562" s="13"/>
      <c r="D562" s="14"/>
      <c r="F562" s="13"/>
      <c r="I562" s="13"/>
    </row>
    <row r="563">
      <c r="C563" s="13"/>
      <c r="D563" s="14"/>
      <c r="F563" s="13"/>
      <c r="I563" s="13"/>
    </row>
    <row r="564">
      <c r="C564" s="13"/>
      <c r="D564" s="14"/>
      <c r="F564" s="13"/>
      <c r="I564" s="13"/>
    </row>
    <row r="565">
      <c r="C565" s="13"/>
      <c r="D565" s="14"/>
      <c r="F565" s="13"/>
      <c r="I565" s="13"/>
    </row>
    <row r="566">
      <c r="C566" s="13"/>
      <c r="D566" s="14"/>
      <c r="F566" s="13"/>
      <c r="I566" s="13"/>
    </row>
    <row r="567">
      <c r="C567" s="13"/>
      <c r="D567" s="14"/>
      <c r="F567" s="13"/>
      <c r="I567" s="13"/>
    </row>
    <row r="568">
      <c r="C568" s="13"/>
      <c r="D568" s="14"/>
      <c r="F568" s="13"/>
      <c r="I568" s="13"/>
    </row>
    <row r="569">
      <c r="C569" s="13"/>
      <c r="D569" s="14"/>
      <c r="F569" s="13"/>
      <c r="I569" s="13"/>
    </row>
    <row r="570">
      <c r="C570" s="13"/>
      <c r="D570" s="14"/>
      <c r="F570" s="13"/>
      <c r="I570" s="13"/>
    </row>
    <row r="571">
      <c r="C571" s="13"/>
      <c r="D571" s="14"/>
      <c r="F571" s="13"/>
      <c r="I571" s="13"/>
    </row>
    <row r="572">
      <c r="C572" s="13"/>
      <c r="D572" s="14"/>
      <c r="F572" s="13"/>
      <c r="I572" s="13"/>
    </row>
    <row r="573">
      <c r="C573" s="13"/>
      <c r="D573" s="14"/>
      <c r="F573" s="13"/>
      <c r="I573" s="13"/>
    </row>
    <row r="574">
      <c r="C574" s="13"/>
      <c r="D574" s="14"/>
      <c r="F574" s="13"/>
      <c r="I574" s="13"/>
    </row>
    <row r="575">
      <c r="C575" s="13"/>
      <c r="D575" s="14"/>
      <c r="F575" s="13"/>
      <c r="I575" s="13"/>
    </row>
    <row r="576">
      <c r="C576" s="13"/>
      <c r="D576" s="14"/>
      <c r="F576" s="13"/>
      <c r="I576" s="13"/>
    </row>
    <row r="577">
      <c r="C577" s="13"/>
      <c r="D577" s="14"/>
      <c r="F577" s="13"/>
      <c r="I577" s="13"/>
    </row>
    <row r="578">
      <c r="C578" s="13"/>
      <c r="D578" s="14"/>
      <c r="F578" s="13"/>
      <c r="I578" s="13"/>
    </row>
    <row r="579">
      <c r="C579" s="13"/>
      <c r="D579" s="14"/>
      <c r="F579" s="13"/>
      <c r="I579" s="13"/>
    </row>
    <row r="580">
      <c r="C580" s="13"/>
      <c r="D580" s="14"/>
      <c r="F580" s="13"/>
      <c r="I580" s="13"/>
    </row>
    <row r="581">
      <c r="C581" s="13"/>
      <c r="D581" s="14"/>
      <c r="F581" s="13"/>
      <c r="I581" s="13"/>
    </row>
    <row r="582">
      <c r="C582" s="13"/>
      <c r="D582" s="14"/>
      <c r="F582" s="13"/>
      <c r="I582" s="13"/>
    </row>
    <row r="583">
      <c r="C583" s="13"/>
      <c r="D583" s="14"/>
      <c r="F583" s="13"/>
      <c r="I583" s="13"/>
    </row>
    <row r="584">
      <c r="C584" s="13"/>
      <c r="D584" s="14"/>
      <c r="F584" s="13"/>
      <c r="I584" s="13"/>
    </row>
    <row r="585">
      <c r="C585" s="13"/>
      <c r="D585" s="14"/>
      <c r="F585" s="13"/>
      <c r="I585" s="13"/>
    </row>
    <row r="586">
      <c r="C586" s="13"/>
      <c r="D586" s="14"/>
      <c r="F586" s="13"/>
      <c r="I586" s="13"/>
    </row>
    <row r="587">
      <c r="C587" s="13"/>
      <c r="D587" s="14"/>
      <c r="F587" s="13"/>
      <c r="I587" s="13"/>
    </row>
    <row r="588">
      <c r="C588" s="13"/>
      <c r="D588" s="14"/>
      <c r="F588" s="13"/>
      <c r="I588" s="13"/>
    </row>
    <row r="589">
      <c r="C589" s="13"/>
      <c r="D589" s="14"/>
      <c r="F589" s="13"/>
      <c r="I589" s="13"/>
    </row>
    <row r="590">
      <c r="C590" s="13"/>
      <c r="D590" s="14"/>
      <c r="F590" s="13"/>
      <c r="I590" s="13"/>
    </row>
    <row r="591">
      <c r="C591" s="13"/>
      <c r="D591" s="14"/>
      <c r="F591" s="13"/>
      <c r="I591" s="13"/>
    </row>
    <row r="592">
      <c r="C592" s="13"/>
      <c r="D592" s="14"/>
      <c r="F592" s="13"/>
      <c r="I592" s="13"/>
    </row>
    <row r="593">
      <c r="C593" s="13"/>
      <c r="D593" s="14"/>
      <c r="F593" s="13"/>
      <c r="I593" s="13"/>
    </row>
    <row r="594">
      <c r="C594" s="13"/>
      <c r="D594" s="14"/>
      <c r="F594" s="13"/>
      <c r="I594" s="13"/>
    </row>
    <row r="595">
      <c r="C595" s="13"/>
      <c r="D595" s="14"/>
      <c r="F595" s="13"/>
      <c r="I595" s="13"/>
    </row>
    <row r="596">
      <c r="C596" s="13"/>
      <c r="D596" s="14"/>
      <c r="F596" s="13"/>
      <c r="I596" s="13"/>
    </row>
    <row r="597">
      <c r="C597" s="13"/>
      <c r="D597" s="14"/>
      <c r="F597" s="13"/>
      <c r="I597" s="13"/>
    </row>
    <row r="598">
      <c r="C598" s="13"/>
      <c r="D598" s="14"/>
      <c r="F598" s="13"/>
      <c r="I598" s="13"/>
    </row>
    <row r="599">
      <c r="C599" s="13"/>
      <c r="D599" s="14"/>
      <c r="F599" s="13"/>
      <c r="I599" s="13"/>
    </row>
    <row r="600">
      <c r="C600" s="13"/>
      <c r="D600" s="14"/>
      <c r="F600" s="13"/>
      <c r="I600" s="13"/>
    </row>
    <row r="601">
      <c r="C601" s="13"/>
      <c r="D601" s="14"/>
      <c r="F601" s="13"/>
      <c r="I601" s="13"/>
    </row>
    <row r="602">
      <c r="C602" s="13"/>
      <c r="D602" s="14"/>
      <c r="F602" s="13"/>
      <c r="I602" s="13"/>
    </row>
    <row r="603">
      <c r="C603" s="13"/>
      <c r="D603" s="14"/>
      <c r="F603" s="13"/>
      <c r="I603" s="13"/>
    </row>
    <row r="604">
      <c r="C604" s="13"/>
      <c r="D604" s="14"/>
      <c r="F604" s="13"/>
      <c r="I604" s="13"/>
    </row>
    <row r="605">
      <c r="C605" s="13"/>
      <c r="D605" s="14"/>
      <c r="F605" s="13"/>
      <c r="I605" s="13"/>
    </row>
    <row r="606">
      <c r="C606" s="13"/>
      <c r="D606" s="14"/>
      <c r="F606" s="13"/>
      <c r="I606" s="13"/>
    </row>
    <row r="607">
      <c r="C607" s="13"/>
      <c r="D607" s="14"/>
      <c r="F607" s="13"/>
      <c r="I607" s="13"/>
    </row>
    <row r="608">
      <c r="C608" s="13"/>
      <c r="D608" s="14"/>
      <c r="F608" s="13"/>
      <c r="I608" s="13"/>
    </row>
    <row r="609">
      <c r="C609" s="13"/>
      <c r="D609" s="14"/>
      <c r="F609" s="13"/>
      <c r="I609" s="13"/>
    </row>
    <row r="610">
      <c r="C610" s="13"/>
      <c r="D610" s="14"/>
      <c r="F610" s="13"/>
      <c r="I610" s="13"/>
    </row>
    <row r="611">
      <c r="C611" s="13"/>
      <c r="D611" s="14"/>
      <c r="F611" s="13"/>
      <c r="I611" s="13"/>
    </row>
    <row r="612">
      <c r="C612" s="13"/>
      <c r="D612" s="14"/>
      <c r="F612" s="13"/>
      <c r="I612" s="13"/>
    </row>
    <row r="613">
      <c r="C613" s="13"/>
      <c r="D613" s="14"/>
      <c r="F613" s="13"/>
      <c r="I613" s="13"/>
    </row>
    <row r="614">
      <c r="C614" s="13"/>
      <c r="D614" s="14"/>
      <c r="F614" s="13"/>
      <c r="I614" s="13"/>
    </row>
    <row r="615">
      <c r="C615" s="13"/>
      <c r="D615" s="14"/>
      <c r="F615" s="13"/>
      <c r="I615" s="13"/>
    </row>
    <row r="616">
      <c r="C616" s="13"/>
      <c r="D616" s="14"/>
      <c r="F616" s="13"/>
      <c r="I616" s="13"/>
    </row>
    <row r="617">
      <c r="C617" s="13"/>
      <c r="D617" s="14"/>
      <c r="F617" s="13"/>
      <c r="I617" s="13"/>
    </row>
    <row r="618">
      <c r="C618" s="13"/>
      <c r="D618" s="14"/>
      <c r="F618" s="13"/>
      <c r="I618" s="13"/>
    </row>
    <row r="619">
      <c r="C619" s="13"/>
      <c r="D619" s="14"/>
      <c r="F619" s="13"/>
      <c r="I619" s="13"/>
    </row>
    <row r="620">
      <c r="C620" s="13"/>
      <c r="D620" s="14"/>
      <c r="F620" s="13"/>
      <c r="I620" s="13"/>
    </row>
    <row r="621">
      <c r="C621" s="13"/>
      <c r="D621" s="14"/>
      <c r="F621" s="13"/>
      <c r="I621" s="13"/>
    </row>
    <row r="622">
      <c r="C622" s="13"/>
      <c r="D622" s="14"/>
      <c r="F622" s="13"/>
      <c r="I622" s="13"/>
    </row>
    <row r="623">
      <c r="C623" s="13"/>
      <c r="D623" s="14"/>
      <c r="F623" s="13"/>
      <c r="I623" s="13"/>
    </row>
    <row r="624">
      <c r="C624" s="13"/>
      <c r="D624" s="14"/>
      <c r="F624" s="13"/>
      <c r="I624" s="13"/>
    </row>
    <row r="625">
      <c r="C625" s="13"/>
      <c r="D625" s="14"/>
      <c r="F625" s="13"/>
      <c r="I625" s="13"/>
    </row>
    <row r="626">
      <c r="C626" s="13"/>
      <c r="D626" s="14"/>
      <c r="F626" s="13"/>
      <c r="I626" s="13"/>
    </row>
    <row r="627">
      <c r="C627" s="13"/>
      <c r="D627" s="14"/>
      <c r="F627" s="13"/>
      <c r="I627" s="13"/>
    </row>
    <row r="628">
      <c r="C628" s="13"/>
      <c r="D628" s="14"/>
      <c r="F628" s="13"/>
      <c r="I628" s="13"/>
    </row>
    <row r="629">
      <c r="C629" s="13"/>
      <c r="D629" s="14"/>
      <c r="F629" s="13"/>
      <c r="I629" s="13"/>
    </row>
    <row r="630">
      <c r="C630" s="13"/>
      <c r="D630" s="14"/>
      <c r="F630" s="13"/>
      <c r="I630" s="13"/>
    </row>
    <row r="631">
      <c r="C631" s="13"/>
      <c r="D631" s="14"/>
      <c r="F631" s="13"/>
      <c r="I631" s="13"/>
    </row>
    <row r="632">
      <c r="C632" s="13"/>
      <c r="D632" s="14"/>
      <c r="F632" s="13"/>
      <c r="I632" s="13"/>
    </row>
    <row r="633">
      <c r="C633" s="13"/>
      <c r="D633" s="14"/>
      <c r="F633" s="13"/>
      <c r="I633" s="13"/>
    </row>
    <row r="634">
      <c r="C634" s="13"/>
      <c r="D634" s="14"/>
      <c r="F634" s="13"/>
      <c r="I634" s="13"/>
    </row>
    <row r="635">
      <c r="C635" s="13"/>
      <c r="D635" s="14"/>
      <c r="F635" s="13"/>
      <c r="I635" s="13"/>
    </row>
    <row r="636">
      <c r="C636" s="13"/>
      <c r="D636" s="14"/>
      <c r="F636" s="13"/>
      <c r="I636" s="13"/>
    </row>
    <row r="637">
      <c r="C637" s="13"/>
      <c r="D637" s="14"/>
      <c r="F637" s="13"/>
      <c r="I637" s="13"/>
    </row>
    <row r="638">
      <c r="C638" s="13"/>
      <c r="D638" s="14"/>
      <c r="F638" s="13"/>
      <c r="I638" s="13"/>
    </row>
    <row r="639">
      <c r="C639" s="13"/>
      <c r="D639" s="14"/>
      <c r="F639" s="13"/>
      <c r="I639" s="13"/>
    </row>
    <row r="640">
      <c r="C640" s="13"/>
      <c r="D640" s="14"/>
      <c r="F640" s="13"/>
      <c r="I640" s="13"/>
    </row>
    <row r="641">
      <c r="C641" s="13"/>
      <c r="D641" s="14"/>
      <c r="F641" s="13"/>
      <c r="I641" s="13"/>
    </row>
    <row r="642">
      <c r="C642" s="13"/>
      <c r="D642" s="14"/>
      <c r="F642" s="13"/>
      <c r="I642" s="13"/>
    </row>
    <row r="643">
      <c r="C643" s="13"/>
      <c r="D643" s="14"/>
      <c r="F643" s="13"/>
      <c r="I643" s="13"/>
    </row>
    <row r="644">
      <c r="C644" s="13"/>
      <c r="D644" s="14"/>
      <c r="F644" s="13"/>
      <c r="I644" s="13"/>
    </row>
    <row r="645">
      <c r="C645" s="13"/>
      <c r="D645" s="14"/>
      <c r="F645" s="13"/>
      <c r="I645" s="13"/>
    </row>
    <row r="646">
      <c r="C646" s="13"/>
      <c r="D646" s="14"/>
      <c r="F646" s="13"/>
      <c r="I646" s="13"/>
    </row>
    <row r="647">
      <c r="C647" s="13"/>
      <c r="D647" s="14"/>
      <c r="F647" s="13"/>
      <c r="I647" s="13"/>
    </row>
    <row r="648">
      <c r="C648" s="13"/>
      <c r="D648" s="14"/>
      <c r="F648" s="13"/>
      <c r="I648" s="13"/>
    </row>
    <row r="649">
      <c r="C649" s="13"/>
      <c r="D649" s="14"/>
      <c r="F649" s="13"/>
      <c r="I649" s="13"/>
    </row>
    <row r="650">
      <c r="C650" s="13"/>
      <c r="D650" s="14"/>
      <c r="F650" s="13"/>
      <c r="I650" s="13"/>
    </row>
    <row r="651">
      <c r="C651" s="13"/>
      <c r="D651" s="14"/>
      <c r="F651" s="13"/>
      <c r="I651" s="13"/>
    </row>
    <row r="652">
      <c r="C652" s="13"/>
      <c r="D652" s="14"/>
      <c r="F652" s="13"/>
      <c r="I652" s="13"/>
    </row>
    <row r="653">
      <c r="C653" s="13"/>
      <c r="D653" s="14"/>
      <c r="F653" s="13"/>
      <c r="I653" s="13"/>
    </row>
    <row r="654">
      <c r="C654" s="13"/>
      <c r="D654" s="14"/>
      <c r="F654" s="13"/>
      <c r="I654" s="13"/>
    </row>
    <row r="655">
      <c r="C655" s="13"/>
      <c r="D655" s="14"/>
      <c r="F655" s="13"/>
      <c r="I655" s="13"/>
    </row>
    <row r="656">
      <c r="C656" s="13"/>
      <c r="D656" s="14"/>
      <c r="F656" s="13"/>
      <c r="I656" s="13"/>
    </row>
    <row r="657">
      <c r="C657" s="13"/>
      <c r="D657" s="14"/>
      <c r="F657" s="13"/>
      <c r="I657" s="13"/>
    </row>
    <row r="658">
      <c r="C658" s="13"/>
      <c r="D658" s="14"/>
      <c r="F658" s="13"/>
      <c r="I658" s="13"/>
    </row>
    <row r="659">
      <c r="C659" s="13"/>
      <c r="D659" s="14"/>
      <c r="F659" s="13"/>
      <c r="I659" s="13"/>
    </row>
    <row r="660">
      <c r="C660" s="13"/>
      <c r="D660" s="14"/>
      <c r="F660" s="13"/>
      <c r="I660" s="13"/>
    </row>
    <row r="661">
      <c r="C661" s="13"/>
      <c r="D661" s="14"/>
      <c r="F661" s="13"/>
      <c r="I661" s="13"/>
    </row>
    <row r="662">
      <c r="C662" s="13"/>
      <c r="D662" s="14"/>
      <c r="F662" s="13"/>
      <c r="I662" s="13"/>
    </row>
    <row r="663">
      <c r="C663" s="13"/>
      <c r="D663" s="14"/>
      <c r="F663" s="13"/>
      <c r="I663" s="13"/>
    </row>
    <row r="664">
      <c r="C664" s="13"/>
      <c r="D664" s="14"/>
      <c r="F664" s="13"/>
      <c r="I664" s="13"/>
    </row>
    <row r="665">
      <c r="C665" s="13"/>
      <c r="D665" s="14"/>
      <c r="F665" s="13"/>
      <c r="I665" s="13"/>
    </row>
    <row r="666">
      <c r="C666" s="13"/>
      <c r="D666" s="14"/>
      <c r="F666" s="13"/>
      <c r="I666" s="13"/>
    </row>
    <row r="667">
      <c r="C667" s="13"/>
      <c r="D667" s="14"/>
      <c r="F667" s="13"/>
      <c r="I667" s="13"/>
    </row>
    <row r="668">
      <c r="C668" s="13"/>
      <c r="D668" s="14"/>
      <c r="F668" s="13"/>
      <c r="I668" s="13"/>
    </row>
    <row r="669">
      <c r="C669" s="13"/>
      <c r="D669" s="14"/>
      <c r="F669" s="13"/>
      <c r="I669" s="13"/>
    </row>
    <row r="670">
      <c r="C670" s="13"/>
      <c r="D670" s="14"/>
      <c r="F670" s="13"/>
      <c r="I670" s="13"/>
    </row>
    <row r="671">
      <c r="C671" s="13"/>
      <c r="D671" s="14"/>
      <c r="F671" s="13"/>
      <c r="I671" s="13"/>
    </row>
    <row r="672">
      <c r="C672" s="13"/>
      <c r="D672" s="14"/>
      <c r="F672" s="13"/>
      <c r="I672" s="13"/>
    </row>
    <row r="673">
      <c r="C673" s="13"/>
      <c r="D673" s="14"/>
      <c r="F673" s="13"/>
      <c r="I673" s="13"/>
    </row>
    <row r="674">
      <c r="C674" s="13"/>
      <c r="D674" s="14"/>
      <c r="F674" s="13"/>
      <c r="I674" s="13"/>
    </row>
    <row r="675">
      <c r="C675" s="13"/>
      <c r="D675" s="14"/>
      <c r="F675" s="13"/>
      <c r="I675" s="13"/>
    </row>
    <row r="676">
      <c r="C676" s="13"/>
      <c r="D676" s="14"/>
      <c r="F676" s="13"/>
      <c r="I676" s="13"/>
    </row>
    <row r="677">
      <c r="C677" s="13"/>
      <c r="D677" s="14"/>
      <c r="F677" s="13"/>
      <c r="I677" s="13"/>
    </row>
    <row r="678">
      <c r="C678" s="13"/>
      <c r="D678" s="14"/>
      <c r="F678" s="13"/>
      <c r="I678" s="13"/>
    </row>
    <row r="679">
      <c r="C679" s="13"/>
      <c r="D679" s="14"/>
      <c r="F679" s="13"/>
      <c r="I679" s="13"/>
    </row>
    <row r="680">
      <c r="C680" s="13"/>
      <c r="D680" s="14"/>
      <c r="F680" s="13"/>
      <c r="I680" s="13"/>
    </row>
    <row r="681">
      <c r="C681" s="13"/>
      <c r="D681" s="14"/>
      <c r="F681" s="13"/>
      <c r="I681" s="13"/>
    </row>
    <row r="682">
      <c r="C682" s="13"/>
      <c r="D682" s="14"/>
      <c r="F682" s="13"/>
      <c r="I682" s="13"/>
    </row>
    <row r="683">
      <c r="C683" s="13"/>
      <c r="D683" s="14"/>
      <c r="F683" s="13"/>
      <c r="I683" s="13"/>
    </row>
    <row r="684">
      <c r="C684" s="13"/>
      <c r="D684" s="14"/>
      <c r="F684" s="13"/>
      <c r="I684" s="13"/>
    </row>
    <row r="685">
      <c r="C685" s="13"/>
      <c r="D685" s="14"/>
      <c r="F685" s="13"/>
      <c r="I685" s="13"/>
    </row>
    <row r="686">
      <c r="C686" s="13"/>
      <c r="D686" s="14"/>
      <c r="F686" s="13"/>
      <c r="I686" s="13"/>
    </row>
    <row r="687">
      <c r="C687" s="13"/>
      <c r="D687" s="14"/>
      <c r="F687" s="13"/>
      <c r="I687" s="13"/>
    </row>
    <row r="688">
      <c r="C688" s="13"/>
      <c r="D688" s="14"/>
      <c r="F688" s="13"/>
      <c r="I688" s="13"/>
    </row>
    <row r="689">
      <c r="C689" s="13"/>
      <c r="D689" s="14"/>
      <c r="F689" s="13"/>
      <c r="I689" s="13"/>
    </row>
    <row r="690">
      <c r="C690" s="13"/>
      <c r="D690" s="14"/>
      <c r="F690" s="13"/>
      <c r="I690" s="13"/>
    </row>
    <row r="691">
      <c r="C691" s="13"/>
      <c r="D691" s="14"/>
      <c r="F691" s="13"/>
      <c r="I691" s="13"/>
    </row>
    <row r="692">
      <c r="C692" s="13"/>
      <c r="D692" s="14"/>
      <c r="F692" s="13"/>
      <c r="I692" s="13"/>
    </row>
    <row r="693">
      <c r="C693" s="13"/>
      <c r="D693" s="14"/>
      <c r="F693" s="13"/>
      <c r="I693" s="13"/>
    </row>
    <row r="694">
      <c r="C694" s="13"/>
      <c r="D694" s="14"/>
      <c r="F694" s="13"/>
      <c r="I694" s="13"/>
    </row>
    <row r="695">
      <c r="C695" s="13"/>
      <c r="D695" s="14"/>
      <c r="F695" s="13"/>
      <c r="I695" s="13"/>
    </row>
    <row r="696">
      <c r="C696" s="13"/>
      <c r="D696" s="14"/>
      <c r="F696" s="13"/>
      <c r="I696" s="13"/>
    </row>
    <row r="697">
      <c r="C697" s="13"/>
      <c r="D697" s="14"/>
      <c r="F697" s="13"/>
      <c r="I697" s="13"/>
    </row>
    <row r="698">
      <c r="C698" s="13"/>
      <c r="D698" s="14"/>
      <c r="F698" s="13"/>
      <c r="I698" s="13"/>
    </row>
    <row r="699">
      <c r="C699" s="13"/>
      <c r="D699" s="14"/>
      <c r="F699" s="13"/>
      <c r="I699" s="13"/>
    </row>
    <row r="700">
      <c r="C700" s="13"/>
      <c r="D700" s="14"/>
      <c r="F700" s="13"/>
      <c r="I700" s="13"/>
    </row>
    <row r="701">
      <c r="C701" s="13"/>
      <c r="D701" s="14"/>
      <c r="F701" s="13"/>
      <c r="I701" s="13"/>
    </row>
    <row r="702">
      <c r="C702" s="13"/>
      <c r="D702" s="14"/>
      <c r="F702" s="13"/>
      <c r="I702" s="13"/>
    </row>
    <row r="703">
      <c r="C703" s="13"/>
      <c r="D703" s="14"/>
      <c r="F703" s="13"/>
      <c r="I703" s="13"/>
    </row>
    <row r="704">
      <c r="C704" s="13"/>
      <c r="D704" s="14"/>
      <c r="F704" s="13"/>
      <c r="I704" s="13"/>
    </row>
    <row r="705">
      <c r="C705" s="13"/>
      <c r="D705" s="14"/>
      <c r="F705" s="13"/>
      <c r="I705" s="13"/>
    </row>
    <row r="706">
      <c r="C706" s="13"/>
      <c r="D706" s="14"/>
      <c r="F706" s="13"/>
      <c r="I706" s="13"/>
    </row>
    <row r="707">
      <c r="C707" s="13"/>
      <c r="D707" s="14"/>
      <c r="F707" s="13"/>
      <c r="I707" s="13"/>
    </row>
    <row r="708">
      <c r="C708" s="13"/>
      <c r="D708" s="14"/>
      <c r="F708" s="13"/>
      <c r="I708" s="13"/>
    </row>
    <row r="709">
      <c r="C709" s="13"/>
      <c r="D709" s="14"/>
      <c r="F709" s="13"/>
      <c r="I709" s="13"/>
    </row>
    <row r="710">
      <c r="C710" s="13"/>
      <c r="D710" s="14"/>
      <c r="F710" s="13"/>
      <c r="I710" s="13"/>
    </row>
    <row r="711">
      <c r="C711" s="13"/>
      <c r="D711" s="14"/>
      <c r="F711" s="13"/>
      <c r="I711" s="13"/>
    </row>
    <row r="712">
      <c r="C712" s="13"/>
      <c r="D712" s="14"/>
      <c r="F712" s="13"/>
      <c r="I712" s="13"/>
    </row>
    <row r="713">
      <c r="C713" s="13"/>
      <c r="D713" s="14"/>
      <c r="F713" s="13"/>
      <c r="I713" s="13"/>
    </row>
    <row r="714">
      <c r="C714" s="13"/>
      <c r="D714" s="14"/>
      <c r="F714" s="13"/>
      <c r="I714" s="13"/>
    </row>
    <row r="715">
      <c r="C715" s="13"/>
      <c r="D715" s="14"/>
      <c r="F715" s="13"/>
      <c r="I715" s="13"/>
    </row>
    <row r="716">
      <c r="C716" s="13"/>
      <c r="D716" s="14"/>
      <c r="F716" s="13"/>
      <c r="I716" s="13"/>
    </row>
    <row r="717">
      <c r="C717" s="13"/>
      <c r="D717" s="14"/>
      <c r="F717" s="13"/>
      <c r="I717" s="13"/>
    </row>
    <row r="718">
      <c r="C718" s="13"/>
      <c r="D718" s="14"/>
      <c r="F718" s="13"/>
      <c r="I718" s="13"/>
    </row>
    <row r="719">
      <c r="C719" s="13"/>
      <c r="D719" s="14"/>
      <c r="F719" s="13"/>
      <c r="I719" s="13"/>
    </row>
    <row r="720">
      <c r="C720" s="13"/>
      <c r="D720" s="14"/>
      <c r="F720" s="13"/>
      <c r="I720" s="13"/>
    </row>
    <row r="721">
      <c r="C721" s="13"/>
      <c r="D721" s="14"/>
      <c r="F721" s="13"/>
      <c r="I721" s="13"/>
    </row>
    <row r="722">
      <c r="C722" s="13"/>
      <c r="D722" s="14"/>
      <c r="F722" s="13"/>
      <c r="I722" s="13"/>
    </row>
    <row r="723">
      <c r="C723" s="13"/>
      <c r="D723" s="14"/>
      <c r="F723" s="13"/>
      <c r="I723" s="13"/>
    </row>
    <row r="724">
      <c r="C724" s="13"/>
      <c r="D724" s="14"/>
      <c r="F724" s="13"/>
      <c r="I724" s="13"/>
    </row>
    <row r="725">
      <c r="C725" s="13"/>
      <c r="D725" s="14"/>
      <c r="F725" s="13"/>
      <c r="I725" s="13"/>
    </row>
    <row r="726">
      <c r="C726" s="13"/>
      <c r="D726" s="14"/>
      <c r="F726" s="13"/>
      <c r="I726" s="13"/>
    </row>
    <row r="727">
      <c r="C727" s="13"/>
      <c r="D727" s="14"/>
      <c r="F727" s="13"/>
      <c r="I727" s="13"/>
    </row>
    <row r="728">
      <c r="C728" s="13"/>
      <c r="D728" s="14"/>
      <c r="F728" s="13"/>
      <c r="I728" s="13"/>
    </row>
    <row r="729">
      <c r="C729" s="13"/>
      <c r="D729" s="14"/>
      <c r="F729" s="13"/>
      <c r="I729" s="13"/>
    </row>
    <row r="730">
      <c r="C730" s="13"/>
      <c r="D730" s="14"/>
      <c r="F730" s="13"/>
      <c r="I730" s="13"/>
    </row>
    <row r="731">
      <c r="C731" s="13"/>
      <c r="D731" s="14"/>
      <c r="F731" s="13"/>
      <c r="I731" s="13"/>
    </row>
    <row r="732">
      <c r="C732" s="13"/>
      <c r="D732" s="14"/>
      <c r="F732" s="13"/>
      <c r="I732" s="13"/>
    </row>
    <row r="733">
      <c r="C733" s="13"/>
      <c r="D733" s="14"/>
      <c r="F733" s="13"/>
      <c r="I733" s="13"/>
    </row>
    <row r="734">
      <c r="C734" s="13"/>
      <c r="D734" s="14"/>
      <c r="F734" s="13"/>
      <c r="I734" s="13"/>
    </row>
    <row r="735">
      <c r="C735" s="13"/>
      <c r="D735" s="14"/>
      <c r="F735" s="13"/>
      <c r="I735" s="13"/>
    </row>
    <row r="736">
      <c r="C736" s="13"/>
      <c r="D736" s="14"/>
      <c r="F736" s="13"/>
      <c r="I736" s="13"/>
    </row>
    <row r="737">
      <c r="C737" s="13"/>
      <c r="D737" s="14"/>
      <c r="F737" s="13"/>
      <c r="I737" s="13"/>
    </row>
    <row r="738">
      <c r="C738" s="13"/>
      <c r="D738" s="14"/>
      <c r="F738" s="13"/>
      <c r="I738" s="13"/>
    </row>
    <row r="739">
      <c r="C739" s="13"/>
      <c r="D739" s="14"/>
      <c r="F739" s="13"/>
      <c r="I739" s="13"/>
    </row>
    <row r="740">
      <c r="C740" s="13"/>
      <c r="D740" s="14"/>
      <c r="F740" s="13"/>
      <c r="I740" s="13"/>
    </row>
    <row r="741">
      <c r="C741" s="13"/>
      <c r="D741" s="14"/>
      <c r="F741" s="13"/>
      <c r="I741" s="13"/>
    </row>
    <row r="742">
      <c r="C742" s="13"/>
      <c r="D742" s="14"/>
      <c r="F742" s="13"/>
      <c r="I742" s="13"/>
    </row>
    <row r="743">
      <c r="C743" s="13"/>
      <c r="D743" s="14"/>
      <c r="F743" s="13"/>
      <c r="I743" s="13"/>
    </row>
    <row r="744">
      <c r="C744" s="13"/>
      <c r="D744" s="14"/>
      <c r="F744" s="13"/>
      <c r="I744" s="13"/>
    </row>
    <row r="745">
      <c r="C745" s="13"/>
      <c r="D745" s="14"/>
      <c r="F745" s="13"/>
      <c r="I745" s="13"/>
    </row>
    <row r="746">
      <c r="C746" s="13"/>
      <c r="D746" s="14"/>
      <c r="F746" s="13"/>
      <c r="I746" s="13"/>
    </row>
    <row r="747">
      <c r="C747" s="13"/>
      <c r="D747" s="14"/>
      <c r="F747" s="13"/>
      <c r="I747" s="13"/>
    </row>
    <row r="748">
      <c r="C748" s="13"/>
      <c r="D748" s="14"/>
      <c r="F748" s="13"/>
      <c r="I748" s="13"/>
    </row>
    <row r="749">
      <c r="C749" s="13"/>
      <c r="D749" s="14"/>
      <c r="F749" s="13"/>
      <c r="I749" s="13"/>
    </row>
    <row r="750">
      <c r="C750" s="13"/>
      <c r="D750" s="14"/>
      <c r="F750" s="13"/>
      <c r="I750" s="13"/>
    </row>
    <row r="751">
      <c r="C751" s="13"/>
      <c r="D751" s="14"/>
      <c r="F751" s="13"/>
      <c r="I751" s="13"/>
    </row>
    <row r="752">
      <c r="C752" s="13"/>
      <c r="D752" s="14"/>
      <c r="F752" s="13"/>
      <c r="I752" s="13"/>
    </row>
    <row r="753">
      <c r="C753" s="13"/>
      <c r="D753" s="14"/>
      <c r="F753" s="13"/>
      <c r="I753" s="13"/>
    </row>
    <row r="754">
      <c r="C754" s="13"/>
      <c r="D754" s="14"/>
      <c r="F754" s="13"/>
      <c r="I754" s="13"/>
    </row>
    <row r="755">
      <c r="C755" s="13"/>
      <c r="D755" s="14"/>
      <c r="F755" s="13"/>
      <c r="I755" s="13"/>
    </row>
    <row r="756">
      <c r="C756" s="13"/>
      <c r="D756" s="14"/>
      <c r="F756" s="13"/>
      <c r="I756" s="13"/>
    </row>
    <row r="757">
      <c r="C757" s="13"/>
      <c r="D757" s="14"/>
      <c r="F757" s="13"/>
      <c r="I757" s="13"/>
    </row>
    <row r="758">
      <c r="C758" s="13"/>
      <c r="D758" s="14"/>
      <c r="F758" s="13"/>
      <c r="I758" s="13"/>
    </row>
    <row r="759">
      <c r="C759" s="13"/>
      <c r="D759" s="14"/>
      <c r="F759" s="13"/>
      <c r="I759" s="13"/>
    </row>
    <row r="760">
      <c r="C760" s="13"/>
      <c r="D760" s="14"/>
      <c r="F760" s="13"/>
      <c r="I760" s="13"/>
    </row>
    <row r="761">
      <c r="C761" s="13"/>
      <c r="D761" s="14"/>
      <c r="F761" s="13"/>
      <c r="I761" s="13"/>
    </row>
    <row r="762">
      <c r="C762" s="13"/>
      <c r="D762" s="14"/>
      <c r="F762" s="13"/>
      <c r="I762" s="13"/>
    </row>
    <row r="763">
      <c r="C763" s="13"/>
      <c r="D763" s="14"/>
      <c r="F763" s="13"/>
      <c r="I763" s="13"/>
    </row>
    <row r="764">
      <c r="C764" s="13"/>
      <c r="D764" s="14"/>
      <c r="F764" s="13"/>
      <c r="I764" s="13"/>
    </row>
    <row r="765">
      <c r="C765" s="13"/>
      <c r="D765" s="14"/>
      <c r="F765" s="13"/>
      <c r="I765" s="13"/>
    </row>
    <row r="766">
      <c r="C766" s="13"/>
      <c r="D766" s="14"/>
      <c r="F766" s="13"/>
      <c r="I766" s="13"/>
    </row>
    <row r="767">
      <c r="C767" s="13"/>
      <c r="D767" s="14"/>
      <c r="F767" s="13"/>
      <c r="I767" s="13"/>
    </row>
    <row r="768">
      <c r="C768" s="13"/>
      <c r="D768" s="14"/>
      <c r="F768" s="13"/>
      <c r="I768" s="13"/>
    </row>
    <row r="769">
      <c r="C769" s="13"/>
      <c r="D769" s="14"/>
      <c r="F769" s="13"/>
      <c r="I769" s="13"/>
    </row>
    <row r="770">
      <c r="C770" s="13"/>
      <c r="D770" s="14"/>
      <c r="F770" s="13"/>
      <c r="I770" s="13"/>
    </row>
    <row r="771">
      <c r="C771" s="13"/>
      <c r="D771" s="14"/>
      <c r="F771" s="13"/>
      <c r="I771" s="13"/>
    </row>
    <row r="772">
      <c r="C772" s="13"/>
      <c r="D772" s="14"/>
      <c r="F772" s="13"/>
      <c r="I772" s="13"/>
    </row>
    <row r="773">
      <c r="C773" s="13"/>
      <c r="D773" s="14"/>
      <c r="F773" s="13"/>
      <c r="I773" s="13"/>
    </row>
    <row r="774">
      <c r="C774" s="13"/>
      <c r="D774" s="14"/>
      <c r="F774" s="13"/>
      <c r="I774" s="13"/>
    </row>
    <row r="775">
      <c r="C775" s="13"/>
      <c r="D775" s="14"/>
      <c r="F775" s="13"/>
      <c r="I775" s="13"/>
    </row>
    <row r="776">
      <c r="C776" s="13"/>
      <c r="D776" s="14"/>
      <c r="F776" s="13"/>
      <c r="I776" s="13"/>
    </row>
    <row r="777">
      <c r="C777" s="13"/>
      <c r="D777" s="14"/>
      <c r="F777" s="13"/>
      <c r="I777" s="13"/>
    </row>
    <row r="778">
      <c r="C778" s="13"/>
      <c r="D778" s="14"/>
      <c r="F778" s="13"/>
      <c r="I778" s="13"/>
    </row>
    <row r="779">
      <c r="C779" s="13"/>
      <c r="D779" s="14"/>
      <c r="F779" s="13"/>
      <c r="I779" s="13"/>
    </row>
    <row r="780">
      <c r="C780" s="13"/>
      <c r="D780" s="14"/>
      <c r="F780" s="13"/>
      <c r="I780" s="13"/>
    </row>
    <row r="781">
      <c r="C781" s="13"/>
      <c r="D781" s="14"/>
      <c r="F781" s="13"/>
      <c r="I781" s="13"/>
    </row>
    <row r="782">
      <c r="C782" s="13"/>
      <c r="D782" s="14"/>
      <c r="F782" s="13"/>
      <c r="I782" s="13"/>
    </row>
    <row r="783">
      <c r="C783" s="13"/>
      <c r="D783" s="14"/>
      <c r="F783" s="13"/>
      <c r="I783" s="13"/>
    </row>
    <row r="784">
      <c r="C784" s="13"/>
      <c r="D784" s="14"/>
      <c r="F784" s="13"/>
      <c r="I784" s="13"/>
    </row>
    <row r="785">
      <c r="C785" s="13"/>
      <c r="D785" s="14"/>
      <c r="F785" s="13"/>
      <c r="I785" s="13"/>
    </row>
    <row r="786">
      <c r="C786" s="13"/>
      <c r="D786" s="14"/>
      <c r="F786" s="13"/>
      <c r="I786" s="13"/>
    </row>
    <row r="787">
      <c r="C787" s="13"/>
      <c r="D787" s="14"/>
      <c r="F787" s="13"/>
      <c r="I787" s="13"/>
    </row>
    <row r="788">
      <c r="C788" s="13"/>
      <c r="D788" s="14"/>
      <c r="F788" s="13"/>
      <c r="I788" s="13"/>
    </row>
    <row r="789">
      <c r="C789" s="13"/>
      <c r="D789" s="14"/>
      <c r="F789" s="13"/>
      <c r="I789" s="13"/>
    </row>
    <row r="790">
      <c r="C790" s="13"/>
      <c r="D790" s="14"/>
      <c r="F790" s="13"/>
      <c r="I790" s="13"/>
    </row>
    <row r="791">
      <c r="C791" s="13"/>
      <c r="D791" s="14"/>
      <c r="F791" s="13"/>
      <c r="I791" s="13"/>
    </row>
    <row r="792">
      <c r="C792" s="13"/>
      <c r="D792" s="14"/>
      <c r="F792" s="13"/>
      <c r="I792" s="13"/>
    </row>
    <row r="793">
      <c r="C793" s="13"/>
      <c r="D793" s="14"/>
      <c r="F793" s="13"/>
      <c r="I793" s="13"/>
    </row>
    <row r="794">
      <c r="C794" s="13"/>
      <c r="D794" s="14"/>
      <c r="F794" s="13"/>
      <c r="I794" s="13"/>
    </row>
    <row r="795">
      <c r="C795" s="13"/>
      <c r="D795" s="14"/>
      <c r="F795" s="13"/>
      <c r="I795" s="13"/>
    </row>
    <row r="796">
      <c r="C796" s="13"/>
      <c r="D796" s="14"/>
      <c r="F796" s="13"/>
      <c r="I796" s="13"/>
    </row>
    <row r="797">
      <c r="C797" s="13"/>
      <c r="D797" s="14"/>
      <c r="F797" s="13"/>
      <c r="I797" s="13"/>
    </row>
    <row r="798">
      <c r="C798" s="13"/>
      <c r="D798" s="14"/>
      <c r="F798" s="13"/>
      <c r="I798" s="13"/>
    </row>
    <row r="799">
      <c r="C799" s="13"/>
      <c r="D799" s="14"/>
      <c r="F799" s="13"/>
      <c r="I799" s="13"/>
    </row>
    <row r="800">
      <c r="C800" s="13"/>
      <c r="D800" s="14"/>
      <c r="F800" s="13"/>
      <c r="I800" s="13"/>
    </row>
    <row r="801">
      <c r="C801" s="13"/>
      <c r="D801" s="14"/>
      <c r="F801" s="13"/>
      <c r="I801" s="13"/>
    </row>
    <row r="802">
      <c r="C802" s="13"/>
      <c r="D802" s="14"/>
      <c r="F802" s="13"/>
      <c r="I802" s="13"/>
    </row>
    <row r="803">
      <c r="C803" s="13"/>
      <c r="D803" s="14"/>
      <c r="F803" s="13"/>
      <c r="I803" s="13"/>
    </row>
    <row r="804">
      <c r="C804" s="13"/>
      <c r="D804" s="14"/>
      <c r="F804" s="13"/>
      <c r="I804" s="13"/>
    </row>
    <row r="805">
      <c r="C805" s="13"/>
      <c r="D805" s="14"/>
      <c r="F805" s="13"/>
      <c r="I805" s="13"/>
    </row>
    <row r="806">
      <c r="C806" s="13"/>
      <c r="D806" s="14"/>
      <c r="F806" s="13"/>
      <c r="I806" s="13"/>
    </row>
    <row r="807">
      <c r="C807" s="13"/>
      <c r="D807" s="14"/>
      <c r="F807" s="13"/>
      <c r="I807" s="13"/>
    </row>
    <row r="808">
      <c r="C808" s="13"/>
      <c r="D808" s="14"/>
      <c r="F808" s="13"/>
      <c r="I808" s="13"/>
    </row>
    <row r="809">
      <c r="C809" s="13"/>
      <c r="D809" s="14"/>
      <c r="F809" s="13"/>
      <c r="I809" s="13"/>
    </row>
    <row r="810">
      <c r="C810" s="13"/>
      <c r="D810" s="14"/>
      <c r="F810" s="13"/>
      <c r="I810" s="13"/>
    </row>
    <row r="811">
      <c r="C811" s="13"/>
      <c r="D811" s="14"/>
      <c r="F811" s="13"/>
      <c r="I811" s="13"/>
    </row>
    <row r="812">
      <c r="C812" s="13"/>
      <c r="D812" s="14"/>
      <c r="F812" s="13"/>
      <c r="I812" s="13"/>
    </row>
    <row r="813">
      <c r="C813" s="13"/>
      <c r="D813" s="14"/>
      <c r="F813" s="13"/>
      <c r="I813" s="13"/>
    </row>
    <row r="814">
      <c r="C814" s="13"/>
      <c r="D814" s="14"/>
      <c r="F814" s="13"/>
      <c r="I814" s="13"/>
    </row>
    <row r="815">
      <c r="C815" s="13"/>
      <c r="D815" s="14"/>
      <c r="F815" s="13"/>
      <c r="I815" s="13"/>
    </row>
    <row r="816">
      <c r="C816" s="13"/>
      <c r="D816" s="14"/>
      <c r="F816" s="13"/>
      <c r="I816" s="13"/>
    </row>
    <row r="817">
      <c r="C817" s="13"/>
      <c r="D817" s="14"/>
      <c r="F817" s="13"/>
      <c r="I817" s="13"/>
    </row>
    <row r="818">
      <c r="C818" s="13"/>
      <c r="D818" s="14"/>
      <c r="F818" s="13"/>
      <c r="I818" s="13"/>
    </row>
    <row r="819">
      <c r="C819" s="13"/>
      <c r="D819" s="14"/>
      <c r="F819" s="13"/>
      <c r="I819" s="13"/>
    </row>
    <row r="820">
      <c r="C820" s="13"/>
      <c r="D820" s="14"/>
      <c r="F820" s="13"/>
      <c r="I820" s="13"/>
    </row>
    <row r="821">
      <c r="C821" s="13"/>
      <c r="D821" s="14"/>
      <c r="F821" s="13"/>
      <c r="I821" s="13"/>
    </row>
    <row r="822">
      <c r="C822" s="13"/>
      <c r="D822" s="14"/>
      <c r="F822" s="13"/>
      <c r="I822" s="13"/>
    </row>
    <row r="823">
      <c r="C823" s="13"/>
      <c r="D823" s="14"/>
      <c r="F823" s="13"/>
      <c r="I823" s="13"/>
    </row>
    <row r="824">
      <c r="C824" s="13"/>
      <c r="D824" s="14"/>
      <c r="F824" s="13"/>
      <c r="I824" s="13"/>
    </row>
    <row r="825">
      <c r="C825" s="13"/>
      <c r="D825" s="14"/>
      <c r="F825" s="13"/>
      <c r="I825" s="13"/>
    </row>
    <row r="826">
      <c r="C826" s="13"/>
      <c r="D826" s="14"/>
      <c r="F826" s="13"/>
      <c r="I826" s="13"/>
    </row>
    <row r="827">
      <c r="C827" s="13"/>
      <c r="D827" s="14"/>
      <c r="F827" s="13"/>
      <c r="I827" s="13"/>
    </row>
    <row r="828">
      <c r="C828" s="13"/>
      <c r="D828" s="14"/>
      <c r="F828" s="13"/>
      <c r="I828" s="13"/>
    </row>
    <row r="829">
      <c r="C829" s="13"/>
      <c r="D829" s="14"/>
      <c r="F829" s="13"/>
      <c r="I829" s="13"/>
    </row>
    <row r="830">
      <c r="C830" s="13"/>
      <c r="D830" s="14"/>
      <c r="F830" s="13"/>
      <c r="I830" s="13"/>
    </row>
    <row r="831">
      <c r="C831" s="13"/>
      <c r="D831" s="14"/>
      <c r="F831" s="13"/>
      <c r="I831" s="13"/>
    </row>
    <row r="832">
      <c r="C832" s="13"/>
      <c r="D832" s="14"/>
      <c r="F832" s="13"/>
      <c r="I832" s="13"/>
    </row>
    <row r="833">
      <c r="C833" s="13"/>
      <c r="D833" s="14"/>
      <c r="F833" s="13"/>
      <c r="I833" s="13"/>
    </row>
    <row r="834">
      <c r="C834" s="13"/>
      <c r="D834" s="14"/>
      <c r="F834" s="13"/>
      <c r="I834" s="13"/>
    </row>
    <row r="835">
      <c r="C835" s="13"/>
      <c r="D835" s="14"/>
      <c r="F835" s="13"/>
      <c r="I835" s="13"/>
    </row>
    <row r="836">
      <c r="C836" s="13"/>
      <c r="D836" s="14"/>
      <c r="F836" s="13"/>
      <c r="I836" s="13"/>
    </row>
    <row r="837">
      <c r="C837" s="13"/>
      <c r="D837" s="14"/>
      <c r="F837" s="13"/>
      <c r="I837" s="13"/>
    </row>
    <row r="838">
      <c r="C838" s="13"/>
      <c r="D838" s="14"/>
      <c r="F838" s="13"/>
      <c r="I838" s="13"/>
    </row>
    <row r="839">
      <c r="C839" s="13"/>
      <c r="D839" s="14"/>
      <c r="F839" s="13"/>
      <c r="I839" s="13"/>
    </row>
    <row r="840">
      <c r="C840" s="13"/>
      <c r="D840" s="14"/>
      <c r="F840" s="13"/>
      <c r="I840" s="13"/>
    </row>
    <row r="841">
      <c r="C841" s="13"/>
      <c r="D841" s="14"/>
      <c r="F841" s="13"/>
      <c r="I841" s="13"/>
    </row>
    <row r="842">
      <c r="C842" s="13"/>
      <c r="D842" s="14"/>
      <c r="F842" s="13"/>
      <c r="I842" s="13"/>
    </row>
    <row r="843">
      <c r="C843" s="13"/>
      <c r="D843" s="14"/>
      <c r="F843" s="13"/>
      <c r="I843" s="13"/>
    </row>
    <row r="844">
      <c r="C844" s="13"/>
      <c r="D844" s="14"/>
      <c r="F844" s="13"/>
      <c r="I844" s="13"/>
    </row>
    <row r="845">
      <c r="C845" s="13"/>
      <c r="D845" s="14"/>
      <c r="F845" s="13"/>
      <c r="I845" s="13"/>
    </row>
    <row r="846">
      <c r="C846" s="13"/>
      <c r="D846" s="14"/>
      <c r="F846" s="13"/>
      <c r="I846" s="13"/>
    </row>
    <row r="847">
      <c r="C847" s="13"/>
      <c r="D847" s="14"/>
      <c r="F847" s="13"/>
      <c r="I847" s="13"/>
    </row>
    <row r="848">
      <c r="C848" s="13"/>
      <c r="D848" s="14"/>
      <c r="F848" s="13"/>
      <c r="I848" s="13"/>
    </row>
    <row r="849">
      <c r="C849" s="13"/>
      <c r="D849" s="14"/>
      <c r="F849" s="13"/>
      <c r="I849" s="13"/>
    </row>
    <row r="850">
      <c r="C850" s="13"/>
      <c r="D850" s="14"/>
      <c r="F850" s="13"/>
      <c r="I850" s="13"/>
    </row>
    <row r="851">
      <c r="C851" s="13"/>
      <c r="D851" s="14"/>
      <c r="F851" s="13"/>
      <c r="I851" s="13"/>
    </row>
    <row r="852">
      <c r="C852" s="13"/>
      <c r="D852" s="14"/>
      <c r="F852" s="13"/>
      <c r="I852" s="13"/>
    </row>
    <row r="853">
      <c r="C853" s="13"/>
      <c r="D853" s="14"/>
      <c r="F853" s="13"/>
      <c r="I853" s="13"/>
    </row>
    <row r="854">
      <c r="C854" s="13"/>
      <c r="D854" s="14"/>
      <c r="F854" s="13"/>
      <c r="I854" s="13"/>
    </row>
    <row r="855">
      <c r="C855" s="13"/>
      <c r="D855" s="14"/>
      <c r="F855" s="13"/>
      <c r="I855" s="13"/>
    </row>
    <row r="856">
      <c r="C856" s="13"/>
      <c r="D856" s="14"/>
      <c r="F856" s="13"/>
      <c r="I856" s="13"/>
    </row>
    <row r="857">
      <c r="C857" s="13"/>
      <c r="D857" s="14"/>
      <c r="F857" s="13"/>
      <c r="I857" s="13"/>
    </row>
    <row r="858">
      <c r="C858" s="13"/>
      <c r="D858" s="14"/>
      <c r="F858" s="13"/>
      <c r="I858" s="13"/>
    </row>
    <row r="859">
      <c r="C859" s="13"/>
      <c r="D859" s="14"/>
      <c r="F859" s="13"/>
      <c r="I859" s="13"/>
    </row>
    <row r="860">
      <c r="C860" s="13"/>
      <c r="D860" s="14"/>
      <c r="F860" s="13"/>
      <c r="I860" s="13"/>
    </row>
    <row r="861">
      <c r="C861" s="13"/>
      <c r="D861" s="14"/>
      <c r="F861" s="13"/>
      <c r="I861" s="13"/>
    </row>
    <row r="862">
      <c r="C862" s="13"/>
      <c r="D862" s="14"/>
      <c r="F862" s="13"/>
      <c r="I862" s="13"/>
    </row>
    <row r="863">
      <c r="C863" s="13"/>
      <c r="D863" s="14"/>
      <c r="F863" s="13"/>
      <c r="I863" s="13"/>
    </row>
    <row r="864">
      <c r="C864" s="13"/>
      <c r="D864" s="14"/>
      <c r="F864" s="13"/>
      <c r="I864" s="13"/>
    </row>
    <row r="865">
      <c r="C865" s="13"/>
      <c r="D865" s="14"/>
      <c r="F865" s="13"/>
      <c r="I865" s="13"/>
    </row>
    <row r="866">
      <c r="C866" s="13"/>
      <c r="D866" s="14"/>
      <c r="F866" s="13"/>
      <c r="I866" s="13"/>
    </row>
    <row r="867">
      <c r="C867" s="13"/>
      <c r="D867" s="14"/>
      <c r="F867" s="13"/>
      <c r="I867" s="13"/>
    </row>
    <row r="868">
      <c r="C868" s="13"/>
      <c r="D868" s="14"/>
      <c r="F868" s="13"/>
      <c r="I868" s="13"/>
    </row>
    <row r="869">
      <c r="C869" s="13"/>
      <c r="D869" s="14"/>
      <c r="F869" s="13"/>
      <c r="I869" s="13"/>
    </row>
    <row r="870">
      <c r="C870" s="13"/>
      <c r="D870" s="14"/>
      <c r="F870" s="13"/>
      <c r="I870" s="13"/>
    </row>
    <row r="871">
      <c r="C871" s="13"/>
      <c r="D871" s="14"/>
      <c r="F871" s="13"/>
      <c r="I871" s="13"/>
    </row>
    <row r="872">
      <c r="C872" s="13"/>
      <c r="D872" s="14"/>
      <c r="F872" s="13"/>
      <c r="I872" s="13"/>
    </row>
    <row r="873">
      <c r="C873" s="13"/>
      <c r="D873" s="14"/>
      <c r="F873" s="13"/>
      <c r="I873" s="13"/>
    </row>
    <row r="874">
      <c r="C874" s="13"/>
      <c r="D874" s="14"/>
      <c r="F874" s="13"/>
      <c r="I874" s="13"/>
    </row>
    <row r="875">
      <c r="C875" s="13"/>
      <c r="D875" s="14"/>
      <c r="F875" s="13"/>
      <c r="I875" s="13"/>
    </row>
    <row r="876">
      <c r="C876" s="13"/>
      <c r="D876" s="14"/>
      <c r="F876" s="13"/>
      <c r="I876" s="13"/>
    </row>
    <row r="877">
      <c r="C877" s="13"/>
      <c r="D877" s="14"/>
      <c r="F877" s="13"/>
      <c r="I877" s="13"/>
    </row>
    <row r="878">
      <c r="C878" s="13"/>
      <c r="D878" s="14"/>
      <c r="F878" s="13"/>
      <c r="I878" s="13"/>
    </row>
    <row r="879">
      <c r="C879" s="13"/>
      <c r="D879" s="14"/>
      <c r="F879" s="13"/>
      <c r="I879" s="13"/>
    </row>
    <row r="880">
      <c r="C880" s="13"/>
      <c r="D880" s="14"/>
      <c r="F880" s="13"/>
      <c r="I880" s="13"/>
    </row>
    <row r="881">
      <c r="C881" s="13"/>
      <c r="D881" s="14"/>
      <c r="F881" s="13"/>
      <c r="I881" s="13"/>
    </row>
    <row r="882">
      <c r="C882" s="13"/>
      <c r="D882" s="14"/>
      <c r="F882" s="13"/>
      <c r="I882" s="13"/>
    </row>
    <row r="883">
      <c r="C883" s="13"/>
      <c r="D883" s="14"/>
      <c r="F883" s="13"/>
      <c r="I883" s="13"/>
    </row>
    <row r="884">
      <c r="C884" s="13"/>
      <c r="D884" s="14"/>
      <c r="F884" s="13"/>
      <c r="I884" s="13"/>
    </row>
    <row r="885">
      <c r="C885" s="13"/>
      <c r="D885" s="14"/>
      <c r="F885" s="13"/>
      <c r="I885" s="13"/>
    </row>
    <row r="886">
      <c r="C886" s="13"/>
      <c r="D886" s="14"/>
      <c r="F886" s="13"/>
      <c r="I886" s="13"/>
    </row>
    <row r="887">
      <c r="C887" s="13"/>
      <c r="D887" s="14"/>
      <c r="F887" s="13"/>
      <c r="I887" s="13"/>
    </row>
    <row r="888">
      <c r="C888" s="13"/>
      <c r="D888" s="14"/>
      <c r="F888" s="13"/>
      <c r="I888" s="13"/>
    </row>
    <row r="889">
      <c r="C889" s="13"/>
      <c r="D889" s="14"/>
      <c r="F889" s="13"/>
      <c r="I889" s="13"/>
    </row>
    <row r="890">
      <c r="C890" s="13"/>
      <c r="D890" s="14"/>
      <c r="F890" s="13"/>
      <c r="I890" s="13"/>
    </row>
    <row r="891">
      <c r="C891" s="13"/>
      <c r="D891" s="14"/>
      <c r="F891" s="13"/>
      <c r="I891" s="13"/>
    </row>
    <row r="892">
      <c r="C892" s="13"/>
      <c r="D892" s="14"/>
      <c r="F892" s="13"/>
      <c r="I892" s="13"/>
    </row>
    <row r="893">
      <c r="C893" s="13"/>
      <c r="D893" s="14"/>
      <c r="F893" s="13"/>
      <c r="I893" s="13"/>
    </row>
    <row r="894">
      <c r="C894" s="13"/>
      <c r="D894" s="14"/>
      <c r="F894" s="13"/>
      <c r="I894" s="13"/>
    </row>
    <row r="895">
      <c r="C895" s="13"/>
      <c r="D895" s="14"/>
      <c r="F895" s="13"/>
      <c r="I895" s="13"/>
    </row>
    <row r="896">
      <c r="C896" s="13"/>
      <c r="D896" s="14"/>
      <c r="F896" s="13"/>
      <c r="I896" s="13"/>
    </row>
    <row r="897">
      <c r="C897" s="13"/>
      <c r="D897" s="14"/>
      <c r="F897" s="13"/>
      <c r="I897" s="13"/>
    </row>
    <row r="898">
      <c r="C898" s="13"/>
      <c r="D898" s="14"/>
      <c r="F898" s="13"/>
      <c r="I898" s="13"/>
    </row>
    <row r="899">
      <c r="C899" s="13"/>
      <c r="D899" s="14"/>
      <c r="F899" s="13"/>
      <c r="I899" s="13"/>
    </row>
    <row r="900">
      <c r="C900" s="13"/>
      <c r="D900" s="14"/>
      <c r="F900" s="13"/>
      <c r="I900" s="13"/>
    </row>
    <row r="901">
      <c r="C901" s="13"/>
      <c r="D901" s="14"/>
      <c r="F901" s="13"/>
      <c r="I901" s="13"/>
    </row>
    <row r="902">
      <c r="C902" s="13"/>
      <c r="D902" s="14"/>
      <c r="F902" s="13"/>
      <c r="I902" s="13"/>
    </row>
    <row r="903">
      <c r="C903" s="13"/>
      <c r="D903" s="14"/>
      <c r="F903" s="13"/>
      <c r="I903" s="13"/>
    </row>
    <row r="904">
      <c r="C904" s="13"/>
      <c r="D904" s="14"/>
      <c r="F904" s="13"/>
      <c r="I904" s="13"/>
    </row>
    <row r="905">
      <c r="C905" s="13"/>
      <c r="D905" s="14"/>
      <c r="F905" s="13"/>
      <c r="I905" s="13"/>
    </row>
    <row r="906">
      <c r="C906" s="13"/>
      <c r="D906" s="14"/>
      <c r="F906" s="13"/>
      <c r="I906" s="13"/>
    </row>
    <row r="907">
      <c r="C907" s="13"/>
      <c r="D907" s="14"/>
      <c r="F907" s="13"/>
      <c r="I907" s="13"/>
    </row>
    <row r="908">
      <c r="C908" s="13"/>
      <c r="D908" s="14"/>
      <c r="F908" s="13"/>
      <c r="I908" s="13"/>
    </row>
    <row r="909">
      <c r="C909" s="13"/>
      <c r="D909" s="14"/>
      <c r="F909" s="13"/>
      <c r="I909" s="13"/>
    </row>
    <row r="910">
      <c r="C910" s="13"/>
      <c r="D910" s="14"/>
      <c r="F910" s="13"/>
      <c r="I910" s="13"/>
    </row>
    <row r="911">
      <c r="C911" s="13"/>
      <c r="D911" s="14"/>
      <c r="F911" s="13"/>
      <c r="I911" s="13"/>
    </row>
    <row r="912">
      <c r="C912" s="13"/>
      <c r="D912" s="14"/>
      <c r="F912" s="13"/>
      <c r="I912" s="13"/>
    </row>
    <row r="913">
      <c r="C913" s="13"/>
      <c r="D913" s="14"/>
      <c r="F913" s="13"/>
      <c r="I913" s="13"/>
    </row>
    <row r="914">
      <c r="C914" s="13"/>
      <c r="D914" s="14"/>
      <c r="F914" s="13"/>
      <c r="I914" s="13"/>
    </row>
    <row r="915">
      <c r="C915" s="13"/>
      <c r="D915" s="14"/>
      <c r="F915" s="13"/>
      <c r="I915" s="13"/>
    </row>
    <row r="916">
      <c r="C916" s="13"/>
      <c r="D916" s="14"/>
      <c r="F916" s="13"/>
      <c r="I916" s="13"/>
    </row>
    <row r="917">
      <c r="C917" s="13"/>
      <c r="D917" s="14"/>
      <c r="F917" s="13"/>
      <c r="I917" s="13"/>
    </row>
    <row r="918">
      <c r="C918" s="13"/>
      <c r="D918" s="14"/>
      <c r="F918" s="13"/>
      <c r="I918" s="13"/>
    </row>
    <row r="919">
      <c r="C919" s="13"/>
      <c r="D919" s="14"/>
      <c r="F919" s="13"/>
      <c r="I919" s="13"/>
    </row>
    <row r="920">
      <c r="C920" s="13"/>
      <c r="D920" s="14"/>
      <c r="F920" s="13"/>
      <c r="I920" s="13"/>
    </row>
    <row r="921">
      <c r="C921" s="13"/>
      <c r="D921" s="14"/>
      <c r="F921" s="13"/>
      <c r="I921" s="13"/>
    </row>
    <row r="922">
      <c r="C922" s="13"/>
      <c r="D922" s="14"/>
      <c r="F922" s="13"/>
      <c r="I922" s="13"/>
    </row>
    <row r="923">
      <c r="C923" s="13"/>
      <c r="D923" s="14"/>
      <c r="F923" s="13"/>
      <c r="I923" s="13"/>
    </row>
    <row r="924">
      <c r="C924" s="13"/>
      <c r="D924" s="14"/>
      <c r="F924" s="13"/>
      <c r="I924" s="13"/>
    </row>
    <row r="925">
      <c r="C925" s="13"/>
      <c r="D925" s="14"/>
      <c r="F925" s="13"/>
      <c r="I925" s="13"/>
    </row>
    <row r="926">
      <c r="C926" s="13"/>
      <c r="D926" s="14"/>
      <c r="F926" s="13"/>
      <c r="I926" s="13"/>
    </row>
    <row r="927">
      <c r="C927" s="13"/>
      <c r="D927" s="14"/>
      <c r="F927" s="13"/>
      <c r="I927" s="13"/>
    </row>
    <row r="928">
      <c r="C928" s="13"/>
      <c r="D928" s="14"/>
      <c r="F928" s="13"/>
      <c r="I928" s="13"/>
    </row>
    <row r="929">
      <c r="C929" s="13"/>
      <c r="D929" s="14"/>
      <c r="F929" s="13"/>
      <c r="I929" s="13"/>
    </row>
    <row r="930">
      <c r="C930" s="13"/>
      <c r="D930" s="14"/>
      <c r="F930" s="13"/>
      <c r="I930" s="13"/>
    </row>
    <row r="931">
      <c r="C931" s="13"/>
      <c r="D931" s="14"/>
      <c r="F931" s="13"/>
      <c r="I931" s="13"/>
    </row>
    <row r="932">
      <c r="C932" s="13"/>
      <c r="D932" s="14"/>
      <c r="F932" s="13"/>
      <c r="I932" s="13"/>
    </row>
    <row r="933">
      <c r="C933" s="13"/>
      <c r="D933" s="14"/>
      <c r="F933" s="13"/>
      <c r="I933" s="13"/>
    </row>
    <row r="934">
      <c r="C934" s="13"/>
      <c r="D934" s="14"/>
      <c r="F934" s="13"/>
      <c r="I934" s="13"/>
    </row>
    <row r="935">
      <c r="C935" s="13"/>
      <c r="D935" s="14"/>
      <c r="F935" s="13"/>
      <c r="I935" s="13"/>
    </row>
    <row r="936">
      <c r="C936" s="13"/>
      <c r="D936" s="14"/>
      <c r="F936" s="13"/>
      <c r="I936" s="13"/>
    </row>
    <row r="937">
      <c r="C937" s="13"/>
      <c r="D937" s="14"/>
      <c r="F937" s="13"/>
      <c r="I937" s="13"/>
    </row>
    <row r="938">
      <c r="C938" s="13"/>
      <c r="D938" s="14"/>
      <c r="F938" s="13"/>
      <c r="I938" s="13"/>
    </row>
    <row r="939">
      <c r="C939" s="13"/>
      <c r="D939" s="14"/>
      <c r="F939" s="13"/>
      <c r="I939" s="13"/>
    </row>
    <row r="940">
      <c r="C940" s="13"/>
      <c r="D940" s="14"/>
      <c r="F940" s="13"/>
      <c r="I940" s="13"/>
    </row>
    <row r="941">
      <c r="C941" s="13"/>
      <c r="D941" s="14"/>
      <c r="F941" s="13"/>
      <c r="I941" s="13"/>
    </row>
    <row r="942">
      <c r="C942" s="13"/>
      <c r="D942" s="14"/>
      <c r="F942" s="13"/>
      <c r="I942" s="13"/>
    </row>
    <row r="943">
      <c r="C943" s="13"/>
      <c r="D943" s="14"/>
      <c r="F943" s="13"/>
      <c r="I943" s="13"/>
    </row>
    <row r="944">
      <c r="C944" s="13"/>
      <c r="D944" s="14"/>
      <c r="F944" s="13"/>
      <c r="I944" s="13"/>
    </row>
    <row r="945">
      <c r="C945" s="13"/>
      <c r="D945" s="14"/>
      <c r="F945" s="13"/>
      <c r="I945" s="13"/>
    </row>
    <row r="946">
      <c r="C946" s="13"/>
      <c r="D946" s="14"/>
      <c r="F946" s="13"/>
      <c r="I946" s="13"/>
    </row>
    <row r="947">
      <c r="C947" s="13"/>
      <c r="D947" s="14"/>
      <c r="F947" s="13"/>
      <c r="I947" s="13"/>
    </row>
    <row r="948">
      <c r="C948" s="13"/>
      <c r="D948" s="14"/>
      <c r="F948" s="13"/>
      <c r="I948" s="13"/>
    </row>
    <row r="949">
      <c r="C949" s="13"/>
      <c r="D949" s="14"/>
      <c r="F949" s="13"/>
      <c r="I949" s="13"/>
    </row>
    <row r="950">
      <c r="C950" s="13"/>
      <c r="D950" s="14"/>
      <c r="F950" s="13"/>
      <c r="I950" s="13"/>
    </row>
    <row r="951">
      <c r="C951" s="13"/>
      <c r="D951" s="14"/>
      <c r="F951" s="13"/>
      <c r="I951" s="13"/>
    </row>
    <row r="952">
      <c r="C952" s="13"/>
      <c r="D952" s="14"/>
      <c r="F952" s="13"/>
      <c r="I952" s="13"/>
    </row>
    <row r="953">
      <c r="C953" s="13"/>
      <c r="D953" s="14"/>
      <c r="F953" s="13"/>
      <c r="I953" s="13"/>
    </row>
    <row r="954">
      <c r="C954" s="13"/>
      <c r="D954" s="14"/>
      <c r="F954" s="13"/>
      <c r="I954" s="13"/>
    </row>
    <row r="955">
      <c r="C955" s="13"/>
      <c r="D955" s="14"/>
      <c r="F955" s="13"/>
      <c r="I955" s="13"/>
    </row>
    <row r="956">
      <c r="C956" s="13"/>
      <c r="D956" s="14"/>
      <c r="F956" s="13"/>
      <c r="I956" s="13"/>
    </row>
    <row r="957">
      <c r="C957" s="13"/>
      <c r="D957" s="14"/>
      <c r="F957" s="13"/>
      <c r="I957" s="13"/>
    </row>
    <row r="958">
      <c r="C958" s="13"/>
      <c r="D958" s="14"/>
      <c r="F958" s="13"/>
      <c r="I958" s="13"/>
    </row>
    <row r="959">
      <c r="C959" s="13"/>
      <c r="D959" s="14"/>
      <c r="F959" s="13"/>
      <c r="I959" s="13"/>
    </row>
    <row r="960">
      <c r="C960" s="13"/>
      <c r="D960" s="14"/>
      <c r="F960" s="13"/>
      <c r="I960" s="13"/>
    </row>
    <row r="961">
      <c r="C961" s="13"/>
      <c r="D961" s="14"/>
      <c r="F961" s="13"/>
      <c r="I961" s="13"/>
    </row>
    <row r="962">
      <c r="C962" s="13"/>
      <c r="D962" s="14"/>
      <c r="F962" s="13"/>
      <c r="I962" s="13"/>
    </row>
    <row r="963">
      <c r="C963" s="13"/>
      <c r="D963" s="14"/>
      <c r="F963" s="13"/>
      <c r="I963" s="13"/>
    </row>
    <row r="964">
      <c r="C964" s="13"/>
      <c r="D964" s="14"/>
      <c r="F964" s="13"/>
      <c r="I964" s="13"/>
    </row>
    <row r="965">
      <c r="C965" s="13"/>
      <c r="D965" s="14"/>
      <c r="F965" s="13"/>
      <c r="I965" s="13"/>
    </row>
    <row r="966">
      <c r="C966" s="13"/>
      <c r="D966" s="14"/>
      <c r="F966" s="13"/>
      <c r="I966" s="13"/>
    </row>
    <row r="967">
      <c r="C967" s="13"/>
      <c r="D967" s="14"/>
      <c r="F967" s="13"/>
      <c r="I967" s="13"/>
    </row>
    <row r="968">
      <c r="C968" s="13"/>
      <c r="D968" s="14"/>
      <c r="F968" s="13"/>
      <c r="I968" s="13"/>
    </row>
    <row r="969">
      <c r="C969" s="13"/>
      <c r="D969" s="14"/>
      <c r="F969" s="13"/>
      <c r="I969" s="13"/>
    </row>
    <row r="970">
      <c r="C970" s="13"/>
      <c r="D970" s="14"/>
      <c r="F970" s="13"/>
      <c r="I970" s="13"/>
    </row>
    <row r="971">
      <c r="C971" s="13"/>
      <c r="D971" s="14"/>
      <c r="F971" s="13"/>
      <c r="I971" s="13"/>
    </row>
    <row r="972">
      <c r="C972" s="13"/>
      <c r="D972" s="14"/>
      <c r="F972" s="13"/>
      <c r="I972" s="13"/>
    </row>
    <row r="973">
      <c r="C973" s="13"/>
      <c r="D973" s="14"/>
      <c r="F973" s="13"/>
      <c r="I973" s="13"/>
    </row>
    <row r="974">
      <c r="C974" s="13"/>
      <c r="D974" s="14"/>
      <c r="F974" s="13"/>
      <c r="I974" s="13"/>
    </row>
    <row r="975">
      <c r="C975" s="13"/>
      <c r="D975" s="14"/>
      <c r="F975" s="13"/>
      <c r="I975" s="13"/>
    </row>
    <row r="976">
      <c r="C976" s="13"/>
      <c r="D976" s="14"/>
      <c r="F976" s="13"/>
      <c r="I976" s="13"/>
    </row>
    <row r="977">
      <c r="C977" s="13"/>
      <c r="D977" s="14"/>
      <c r="F977" s="13"/>
      <c r="I977" s="13"/>
    </row>
    <row r="978">
      <c r="C978" s="13"/>
      <c r="D978" s="14"/>
      <c r="F978" s="13"/>
      <c r="I978" s="13"/>
    </row>
    <row r="979">
      <c r="C979" s="13"/>
      <c r="D979" s="14"/>
      <c r="F979" s="13"/>
      <c r="I979" s="13"/>
    </row>
    <row r="980">
      <c r="C980" s="13"/>
      <c r="D980" s="14"/>
      <c r="F980" s="13"/>
      <c r="I980" s="13"/>
    </row>
    <row r="981">
      <c r="C981" s="13"/>
      <c r="D981" s="14"/>
      <c r="F981" s="13"/>
      <c r="I981" s="13"/>
    </row>
    <row r="982">
      <c r="C982" s="13"/>
      <c r="D982" s="14"/>
      <c r="F982" s="13"/>
      <c r="I982" s="13"/>
    </row>
    <row r="983">
      <c r="C983" s="13"/>
      <c r="D983" s="14"/>
      <c r="F983" s="13"/>
      <c r="I983" s="13"/>
    </row>
    <row r="984">
      <c r="C984" s="13"/>
      <c r="D984" s="14"/>
      <c r="F984" s="13"/>
      <c r="I984" s="13"/>
    </row>
    <row r="985">
      <c r="C985" s="13"/>
      <c r="D985" s="14"/>
      <c r="F985" s="13"/>
      <c r="I985" s="13"/>
    </row>
    <row r="986">
      <c r="C986" s="13"/>
      <c r="D986" s="14"/>
      <c r="F986" s="13"/>
      <c r="I986" s="13"/>
    </row>
    <row r="987">
      <c r="C987" s="13"/>
      <c r="D987" s="14"/>
      <c r="F987" s="13"/>
      <c r="I987" s="13"/>
    </row>
    <row r="988">
      <c r="C988" s="13"/>
      <c r="D988" s="14"/>
      <c r="F988" s="13"/>
      <c r="I988" s="13"/>
    </row>
    <row r="989">
      <c r="C989" s="13"/>
      <c r="D989" s="14"/>
      <c r="F989" s="13"/>
      <c r="I989" s="13"/>
    </row>
    <row r="990">
      <c r="C990" s="13"/>
      <c r="D990" s="14"/>
      <c r="F990" s="13"/>
      <c r="I990" s="13"/>
    </row>
    <row r="991">
      <c r="C991" s="13"/>
      <c r="D991" s="14"/>
      <c r="F991" s="13"/>
      <c r="I991" s="13"/>
    </row>
    <row r="992">
      <c r="C992" s="13"/>
      <c r="D992" s="14"/>
      <c r="F992" s="13"/>
      <c r="I992" s="13"/>
    </row>
    <row r="993">
      <c r="C993" s="13"/>
      <c r="D993" s="14"/>
      <c r="F993" s="13"/>
      <c r="I993" s="13"/>
    </row>
    <row r="994">
      <c r="C994" s="13"/>
      <c r="D994" s="14"/>
      <c r="F994" s="13"/>
      <c r="I994" s="13"/>
    </row>
    <row r="995">
      <c r="C995" s="13"/>
      <c r="D995" s="14"/>
      <c r="F995" s="13"/>
      <c r="I995" s="13"/>
    </row>
    <row r="996">
      <c r="C996" s="13"/>
      <c r="D996" s="14"/>
      <c r="F996" s="13"/>
      <c r="I996" s="13"/>
    </row>
    <row r="997">
      <c r="C997" s="13"/>
      <c r="D997" s="14"/>
      <c r="F997" s="13"/>
      <c r="I997" s="13"/>
    </row>
    <row r="998">
      <c r="C998" s="13"/>
      <c r="D998" s="14"/>
      <c r="F998" s="13"/>
      <c r="I998" s="13"/>
    </row>
    <row r="999">
      <c r="C999" s="13"/>
      <c r="D999" s="14"/>
      <c r="F999" s="13"/>
      <c r="I999" s="13"/>
    </row>
    <row r="1000">
      <c r="C1000" s="13"/>
      <c r="D1000" s="14"/>
      <c r="F1000" s="13"/>
      <c r="I1000" s="13"/>
    </row>
    <row r="1001">
      <c r="C1001" s="13"/>
      <c r="D1001" s="14"/>
      <c r="F1001" s="13"/>
      <c r="I1001" s="13"/>
    </row>
    <row r="1002">
      <c r="C1002" s="13"/>
      <c r="D1002" s="14"/>
      <c r="F1002" s="13"/>
      <c r="I1002" s="13"/>
    </row>
    <row r="1003">
      <c r="C1003" s="13"/>
      <c r="D1003" s="14"/>
      <c r="F1003" s="13"/>
      <c r="I1003" s="13"/>
    </row>
    <row r="1004">
      <c r="C1004" s="13"/>
      <c r="D1004" s="14"/>
      <c r="F1004" s="13"/>
      <c r="I1004" s="13"/>
    </row>
    <row r="1005">
      <c r="C1005" s="13"/>
      <c r="D1005" s="14"/>
      <c r="F1005" s="13"/>
      <c r="I1005" s="13"/>
    </row>
    <row r="1006">
      <c r="C1006" s="13"/>
      <c r="D1006" s="14"/>
      <c r="F1006" s="13"/>
      <c r="I1006" s="13"/>
    </row>
    <row r="1007">
      <c r="C1007" s="13"/>
      <c r="D1007" s="14"/>
      <c r="F1007" s="13"/>
      <c r="I1007" s="13"/>
    </row>
    <row r="1008">
      <c r="C1008" s="13"/>
      <c r="D1008" s="14"/>
      <c r="F1008" s="13"/>
      <c r="I1008" s="13"/>
    </row>
  </sheetData>
  <autoFilter ref="$A$1:$H$40"/>
  <mergeCells count="1">
    <mergeCell ref="B65:I66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2" t="s">
        <v>0</v>
      </c>
      <c r="B1" s="2" t="s">
        <v>2</v>
      </c>
      <c r="C1" s="4" t="s">
        <v>3</v>
      </c>
      <c r="D1" s="5" t="s">
        <v>4</v>
      </c>
      <c r="E1" s="2" t="s">
        <v>5</v>
      </c>
      <c r="F1" s="4" t="s">
        <v>6</v>
      </c>
      <c r="G1" s="6"/>
      <c r="H1" s="2" t="s">
        <v>13</v>
      </c>
      <c r="I1" s="8"/>
      <c r="J1" s="6"/>
      <c r="K1" s="2"/>
      <c r="L1" s="2"/>
    </row>
    <row r="2">
      <c r="A2" s="1" t="s">
        <v>25</v>
      </c>
      <c r="B2" s="1" t="s">
        <v>27</v>
      </c>
      <c r="C2" s="3" t="s">
        <v>30</v>
      </c>
      <c r="D2" s="11">
        <v>50000.0</v>
      </c>
      <c r="F2" s="3"/>
      <c r="H2" s="1">
        <v>15.0</v>
      </c>
      <c r="I2" s="12"/>
    </row>
    <row r="3">
      <c r="A3" s="1" t="s">
        <v>23</v>
      </c>
      <c r="C3" s="13"/>
      <c r="D3" s="14"/>
      <c r="E3" s="1" t="s">
        <v>36</v>
      </c>
      <c r="F3" s="3">
        <v>3750.0</v>
      </c>
      <c r="I3" s="13"/>
    </row>
    <row r="4">
      <c r="C4" s="13"/>
      <c r="D4" s="14"/>
      <c r="E4" s="1" t="s">
        <v>37</v>
      </c>
      <c r="F4" s="3">
        <v>3750.0</v>
      </c>
      <c r="I4" s="13"/>
    </row>
    <row r="5">
      <c r="C5" s="13"/>
      <c r="D5" s="14"/>
      <c r="E5" s="1" t="s">
        <v>38</v>
      </c>
      <c r="F5" s="3">
        <v>3750.0</v>
      </c>
      <c r="I5" s="13"/>
    </row>
    <row r="6">
      <c r="C6" s="13"/>
      <c r="D6" s="14"/>
      <c r="F6" s="13"/>
      <c r="H6" s="15" t="s">
        <v>26</v>
      </c>
      <c r="I6" s="13"/>
      <c r="J6" s="16"/>
    </row>
    <row r="7">
      <c r="C7" s="13"/>
      <c r="D7" s="14"/>
      <c r="F7" s="13"/>
      <c r="H7" s="15"/>
      <c r="I7" s="13"/>
      <c r="J7" s="16"/>
    </row>
    <row r="8">
      <c r="C8" s="13"/>
      <c r="D8" s="14"/>
      <c r="F8" s="13"/>
      <c r="H8" s="15"/>
      <c r="I8" s="13"/>
      <c r="J8" s="16"/>
    </row>
    <row r="9">
      <c r="C9" s="13"/>
      <c r="D9" s="14"/>
      <c r="F9" s="13"/>
      <c r="H9" s="15"/>
      <c r="I9" s="13"/>
      <c r="J9" s="16"/>
    </row>
    <row r="10">
      <c r="C10" s="13"/>
      <c r="D10" s="19">
        <f>SUM(D2)</f>
        <v>50000</v>
      </c>
      <c r="E10" s="20"/>
      <c r="F10" s="12">
        <f>SUM(F3:F8)</f>
        <v>11250</v>
      </c>
      <c r="G10" s="20"/>
      <c r="H10" s="18">
        <f>F10/D10</f>
        <v>0.225</v>
      </c>
      <c r="I10" s="13"/>
      <c r="J10" s="14">
        <f>D10-F10</f>
        <v>38750</v>
      </c>
    </row>
    <row r="11">
      <c r="C11" s="13"/>
      <c r="D11" s="14"/>
      <c r="F11" s="13"/>
      <c r="I11" s="13"/>
    </row>
    <row r="12">
      <c r="C12" s="13"/>
      <c r="D12" s="14"/>
      <c r="F12" s="13"/>
      <c r="I12" s="13"/>
    </row>
    <row r="13">
      <c r="B13" s="22" t="s">
        <v>41</v>
      </c>
      <c r="C13" s="23"/>
      <c r="D13" s="23"/>
      <c r="E13" s="23"/>
      <c r="F13" s="23"/>
      <c r="G13" s="23"/>
      <c r="H13" s="23"/>
      <c r="I13" s="24"/>
    </row>
    <row r="14">
      <c r="B14" s="27"/>
      <c r="C14" s="28"/>
      <c r="D14" s="28"/>
      <c r="E14" s="28"/>
      <c r="F14" s="28"/>
      <c r="G14" s="28"/>
      <c r="H14" s="28"/>
      <c r="I14" s="29"/>
    </row>
    <row r="15">
      <c r="B15" s="32"/>
      <c r="C15" s="32" t="s">
        <v>49</v>
      </c>
      <c r="D15" s="34" t="s">
        <v>51</v>
      </c>
      <c r="E15" s="32" t="s">
        <v>52</v>
      </c>
      <c r="F15" s="32"/>
      <c r="G15" s="32" t="s">
        <v>54</v>
      </c>
      <c r="H15" s="32" t="s">
        <v>56</v>
      </c>
      <c r="I15" s="37" t="s">
        <v>57</v>
      </c>
    </row>
    <row r="16">
      <c r="A16" s="1" t="s">
        <v>58</v>
      </c>
      <c r="B16" s="1" t="s">
        <v>59</v>
      </c>
      <c r="C16" s="11">
        <f>SUM(D2)</f>
        <v>50000</v>
      </c>
      <c r="D16" s="11">
        <v>0.0</v>
      </c>
      <c r="E16" s="38">
        <v>5.5</v>
      </c>
      <c r="G16" s="17">
        <f>C16*D16/100</f>
        <v>0</v>
      </c>
      <c r="H16" s="17">
        <f>G16*E16</f>
        <v>0</v>
      </c>
      <c r="I16" s="13">
        <f>C16+H16</f>
        <v>50000</v>
      </c>
    </row>
    <row r="17">
      <c r="C17" s="11"/>
      <c r="D17" s="11"/>
      <c r="E17" s="38"/>
      <c r="I17" s="13"/>
    </row>
    <row r="18">
      <c r="C18" s="14"/>
      <c r="D18" s="14"/>
      <c r="E18" s="40"/>
      <c r="I18" s="13"/>
    </row>
    <row r="19">
      <c r="C19" s="14"/>
      <c r="D19" s="14"/>
      <c r="E19" s="40"/>
      <c r="I19" s="12">
        <f>SUM(I16:I17)</f>
        <v>50000</v>
      </c>
    </row>
    <row r="20">
      <c r="D20" s="14"/>
      <c r="G20" s="39"/>
      <c r="I20" s="12"/>
    </row>
    <row r="21">
      <c r="D21" s="14"/>
      <c r="G21" s="44" t="s">
        <v>62</v>
      </c>
      <c r="I21" s="12">
        <f>F10</f>
        <v>11250</v>
      </c>
    </row>
    <row r="22">
      <c r="D22" s="14"/>
      <c r="G22" s="44"/>
      <c r="I22" s="12"/>
    </row>
    <row r="23">
      <c r="D23" s="14"/>
      <c r="G23" s="45"/>
      <c r="I23" s="13"/>
    </row>
    <row r="24" ht="39.75" customHeight="1">
      <c r="D24" s="14"/>
      <c r="G24" s="44" t="s">
        <v>72</v>
      </c>
      <c r="I24" s="46">
        <f>I19-I21</f>
        <v>38750</v>
      </c>
      <c r="K24" s="47" t="s">
        <v>69</v>
      </c>
      <c r="M24" s="2" t="s">
        <v>78</v>
      </c>
    </row>
    <row r="25">
      <c r="D25" s="14"/>
      <c r="I25" s="13"/>
      <c r="K25" s="12">
        <f>I24/3</f>
        <v>12916.66667</v>
      </c>
      <c r="L25" s="15" t="s">
        <v>79</v>
      </c>
      <c r="M25" s="1" t="s">
        <v>80</v>
      </c>
    </row>
    <row r="26">
      <c r="C26" s="14"/>
      <c r="D26" s="14"/>
      <c r="I26" s="13"/>
      <c r="K26" s="12">
        <f t="shared" ref="K26:K27" si="1">K25</f>
        <v>12916.66667</v>
      </c>
      <c r="L26" s="15" t="s">
        <v>82</v>
      </c>
      <c r="M26" s="1" t="s">
        <v>83</v>
      </c>
    </row>
    <row r="27">
      <c r="C27" s="14"/>
      <c r="D27" s="14"/>
      <c r="I27" s="13"/>
      <c r="K27" s="12">
        <f t="shared" si="1"/>
        <v>12916.66667</v>
      </c>
      <c r="L27" s="15" t="s">
        <v>84</v>
      </c>
      <c r="M27" s="1" t="s">
        <v>85</v>
      </c>
    </row>
    <row r="28">
      <c r="C28" s="14"/>
      <c r="D28" s="14"/>
      <c r="I28" s="13"/>
    </row>
  </sheetData>
  <mergeCells count="1">
    <mergeCell ref="B13:I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63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  <c r="J1" s="1" t="s">
        <v>7</v>
      </c>
    </row>
    <row r="2">
      <c r="A2" s="1" t="s">
        <v>8</v>
      </c>
      <c r="B2" s="1" t="s">
        <v>9</v>
      </c>
      <c r="C2" s="3" t="s">
        <v>10</v>
      </c>
      <c r="D2" s="3">
        <v>200000.0</v>
      </c>
      <c r="F2" s="3"/>
      <c r="J2" s="7">
        <v>0.12</v>
      </c>
    </row>
    <row r="3">
      <c r="A3" s="1" t="s">
        <v>14</v>
      </c>
      <c r="E3" s="1" t="s">
        <v>15</v>
      </c>
      <c r="F3" s="1">
        <v>8000.0</v>
      </c>
    </row>
    <row r="4">
      <c r="A4" s="1" t="s">
        <v>14</v>
      </c>
      <c r="E4" s="1" t="s">
        <v>18</v>
      </c>
      <c r="F4" s="1"/>
    </row>
    <row r="5">
      <c r="A5" s="1" t="s">
        <v>14</v>
      </c>
      <c r="E5" s="1" t="s">
        <v>21</v>
      </c>
      <c r="F5" s="1">
        <v>24000.0</v>
      </c>
    </row>
    <row r="6">
      <c r="A6" s="1" t="s">
        <v>23</v>
      </c>
      <c r="E6" s="1" t="s">
        <v>24</v>
      </c>
      <c r="F6" s="1">
        <v>24000.0</v>
      </c>
    </row>
    <row r="7">
      <c r="A7" s="1" t="s">
        <v>23</v>
      </c>
      <c r="E7" s="1" t="s">
        <v>28</v>
      </c>
      <c r="F7" s="1">
        <v>24000.0</v>
      </c>
    </row>
    <row r="8">
      <c r="E8" s="1" t="s">
        <v>32</v>
      </c>
      <c r="F8" s="1">
        <v>24000.0</v>
      </c>
    </row>
    <row r="12">
      <c r="H12" s="1" t="s">
        <v>26</v>
      </c>
      <c r="K12" s="1" t="s">
        <v>33</v>
      </c>
    </row>
    <row r="13">
      <c r="D13" s="13">
        <f>SUM(D2)</f>
        <v>200000</v>
      </c>
      <c r="F13" s="17">
        <f>SUM(F3:F11)</f>
        <v>104000</v>
      </c>
      <c r="H13" s="18">
        <f>F13/D13</f>
        <v>0.52</v>
      </c>
      <c r="K13" s="17">
        <f>(D13-F13)*3/100</f>
        <v>2880</v>
      </c>
    </row>
    <row r="14">
      <c r="D14" s="1"/>
      <c r="E14" s="1"/>
      <c r="F14" s="1"/>
      <c r="H14" s="1"/>
      <c r="I14" s="1"/>
      <c r="K14" s="17">
        <f t="shared" ref="K14:K15" si="1">K13</f>
        <v>2880</v>
      </c>
    </row>
    <row r="15">
      <c r="D15" s="1"/>
      <c r="E15" s="1"/>
      <c r="F15" s="1"/>
      <c r="H15" s="1"/>
      <c r="I15" s="1"/>
      <c r="K15" s="17">
        <f t="shared" si="1"/>
        <v>2880</v>
      </c>
    </row>
    <row r="16">
      <c r="D16" s="22" t="s">
        <v>40</v>
      </c>
      <c r="E16" s="23"/>
      <c r="F16" s="23"/>
      <c r="G16" s="23"/>
      <c r="H16" s="23"/>
      <c r="I16" s="23"/>
      <c r="J16" s="23"/>
      <c r="K16" s="23"/>
      <c r="L16" s="24"/>
    </row>
    <row r="17">
      <c r="D17" s="25"/>
      <c r="L17" s="26"/>
    </row>
    <row r="18">
      <c r="D18" s="27"/>
      <c r="E18" s="28"/>
      <c r="F18" s="28"/>
      <c r="G18" s="28"/>
      <c r="H18" s="28"/>
      <c r="I18" s="28"/>
      <c r="J18" s="28"/>
      <c r="K18" s="28"/>
      <c r="L18" s="29"/>
    </row>
    <row r="19">
      <c r="D19" s="1"/>
      <c r="E19" s="1"/>
      <c r="F19" s="1"/>
      <c r="H19" s="1"/>
      <c r="I19" s="1"/>
    </row>
    <row r="20">
      <c r="A20" s="30"/>
      <c r="B20" s="30"/>
      <c r="C20" s="30"/>
      <c r="D20" s="33" t="s">
        <v>47</v>
      </c>
      <c r="E20" s="33" t="s">
        <v>48</v>
      </c>
      <c r="F20" s="33" t="s">
        <v>50</v>
      </c>
      <c r="G20" s="36"/>
      <c r="H20" s="33" t="s">
        <v>53</v>
      </c>
      <c r="I20" s="33" t="s">
        <v>55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D21" s="3">
        <f>D2</f>
        <v>200000</v>
      </c>
      <c r="E21" s="1">
        <v>3.0</v>
      </c>
      <c r="F21" s="1">
        <v>8.0</v>
      </c>
      <c r="H21" s="17">
        <f>D21*E21/100</f>
        <v>6000</v>
      </c>
      <c r="I21" s="13">
        <f>H21*F21+D21</f>
        <v>248000</v>
      </c>
    </row>
    <row r="25">
      <c r="H25" s="15"/>
      <c r="I25" s="20"/>
      <c r="J25" s="20"/>
      <c r="K25" s="15"/>
    </row>
    <row r="26">
      <c r="H26" s="39" t="s">
        <v>62</v>
      </c>
      <c r="I26" s="17">
        <f>F13</f>
        <v>104000</v>
      </c>
      <c r="J26" s="20">
        <f>F8</f>
        <v>24000</v>
      </c>
    </row>
    <row r="28">
      <c r="H28" s="39" t="s">
        <v>66</v>
      </c>
      <c r="I28" s="13">
        <f>I21-I26</f>
        <v>144000</v>
      </c>
      <c r="J28" s="42"/>
      <c r="L28" s="43" t="s">
        <v>69</v>
      </c>
    </row>
    <row r="29">
      <c r="L29" s="12">
        <f>I28/3</f>
        <v>48000</v>
      </c>
      <c r="M29" s="15" t="s">
        <v>70</v>
      </c>
    </row>
    <row r="30">
      <c r="L30" s="12">
        <f t="shared" ref="L30:L31" si="2">L29</f>
        <v>48000</v>
      </c>
      <c r="M30" s="15" t="s">
        <v>74</v>
      </c>
    </row>
    <row r="31">
      <c r="L31" s="12">
        <f t="shared" si="2"/>
        <v>48000</v>
      </c>
      <c r="M31" s="15" t="s">
        <v>75</v>
      </c>
    </row>
  </sheetData>
  <mergeCells count="1">
    <mergeCell ref="D16:L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8" max="8" width="23.13"/>
    <col customWidth="1" min="9" max="9" width="22.88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  <c r="J1" s="1" t="s">
        <v>7</v>
      </c>
    </row>
    <row r="2">
      <c r="A2" s="1" t="s">
        <v>8</v>
      </c>
      <c r="B2" s="1" t="s">
        <v>11</v>
      </c>
      <c r="C2" s="3" t="s">
        <v>12</v>
      </c>
      <c r="D2" s="3">
        <v>350000.0</v>
      </c>
      <c r="F2" s="3"/>
      <c r="J2" s="7">
        <v>0.15</v>
      </c>
    </row>
    <row r="3">
      <c r="A3" s="1" t="s">
        <v>14</v>
      </c>
      <c r="E3" s="1" t="s">
        <v>16</v>
      </c>
      <c r="F3" s="1">
        <v>59500.0</v>
      </c>
    </row>
    <row r="4">
      <c r="A4" s="1" t="s">
        <v>14</v>
      </c>
      <c r="E4" s="1" t="s">
        <v>19</v>
      </c>
      <c r="F4" s="1">
        <v>0.0</v>
      </c>
    </row>
    <row r="5">
      <c r="A5" s="1" t="s">
        <v>14</v>
      </c>
      <c r="E5" s="1" t="s">
        <v>22</v>
      </c>
      <c r="F5" s="1">
        <v>0.0</v>
      </c>
    </row>
    <row r="9">
      <c r="H9" s="1" t="s">
        <v>26</v>
      </c>
      <c r="K9" s="1" t="s">
        <v>31</v>
      </c>
    </row>
    <row r="10">
      <c r="D10" s="13">
        <f>SUM(D2)</f>
        <v>350000</v>
      </c>
      <c r="F10" s="17">
        <f>SUM(F3:F8)</f>
        <v>59500</v>
      </c>
      <c r="H10" s="18">
        <f>F10/D10</f>
        <v>0.17</v>
      </c>
      <c r="K10" s="17">
        <f>(D10-F10)*3/100</f>
        <v>8715</v>
      </c>
    </row>
    <row r="11">
      <c r="D11" s="1"/>
      <c r="E11" s="1"/>
      <c r="F11" s="1"/>
      <c r="H11" s="1"/>
      <c r="I11" s="1"/>
      <c r="K11" s="17">
        <f t="shared" ref="K11:K12" si="1">K10</f>
        <v>8715</v>
      </c>
    </row>
    <row r="12">
      <c r="D12" s="1"/>
      <c r="E12" s="1"/>
      <c r="F12" s="1"/>
      <c r="H12" s="1"/>
      <c r="I12" s="1"/>
      <c r="K12" s="17">
        <f t="shared" si="1"/>
        <v>8715</v>
      </c>
    </row>
    <row r="13">
      <c r="D13" s="22" t="s">
        <v>41</v>
      </c>
      <c r="E13" s="23"/>
      <c r="F13" s="23"/>
      <c r="G13" s="23"/>
      <c r="H13" s="23"/>
      <c r="I13" s="23"/>
      <c r="J13" s="23"/>
      <c r="K13" s="23"/>
      <c r="L13" s="24"/>
    </row>
    <row r="14">
      <c r="D14" s="25"/>
      <c r="L14" s="26"/>
    </row>
    <row r="15">
      <c r="D15" s="27"/>
      <c r="E15" s="28"/>
      <c r="F15" s="28"/>
      <c r="G15" s="28"/>
      <c r="H15" s="28"/>
      <c r="I15" s="28"/>
      <c r="J15" s="28"/>
      <c r="K15" s="28"/>
      <c r="L15" s="29"/>
    </row>
    <row r="16">
      <c r="D16" s="1"/>
      <c r="E16" s="1"/>
      <c r="F16" s="1"/>
      <c r="H16" s="1"/>
      <c r="I16" s="1"/>
    </row>
    <row r="17">
      <c r="D17" s="31" t="s">
        <v>47</v>
      </c>
      <c r="E17" s="31" t="s">
        <v>48</v>
      </c>
      <c r="F17" s="31" t="s">
        <v>50</v>
      </c>
      <c r="G17" s="35"/>
      <c r="H17" s="31" t="s">
        <v>53</v>
      </c>
      <c r="I17" s="31" t="s">
        <v>55</v>
      </c>
    </row>
    <row r="18">
      <c r="D18" s="3">
        <f>D2</f>
        <v>350000</v>
      </c>
      <c r="E18" s="1">
        <v>3.0</v>
      </c>
      <c r="F18" s="1">
        <v>4.0</v>
      </c>
      <c r="H18" s="17">
        <f>D18*E18/100</f>
        <v>10500</v>
      </c>
      <c r="I18" s="13">
        <f>H18*F18+D18</f>
        <v>392000</v>
      </c>
    </row>
    <row r="22">
      <c r="H22" s="15"/>
      <c r="I22" s="20"/>
      <c r="J22" s="20"/>
      <c r="K22" s="15"/>
    </row>
    <row r="23">
      <c r="H23" s="39" t="s">
        <v>62</v>
      </c>
      <c r="I23" s="17">
        <f>F10</f>
        <v>59500</v>
      </c>
      <c r="J23" s="20" t="str">
        <f>F7</f>
        <v/>
      </c>
    </row>
    <row r="25">
      <c r="H25" s="39" t="s">
        <v>66</v>
      </c>
      <c r="I25" s="13">
        <f>I18-I23</f>
        <v>332500</v>
      </c>
      <c r="J25" s="42"/>
      <c r="L25" s="43" t="s">
        <v>69</v>
      </c>
    </row>
    <row r="26">
      <c r="L26" s="12">
        <f>I25/3</f>
        <v>110833.3333</v>
      </c>
      <c r="M26" s="15" t="s">
        <v>71</v>
      </c>
    </row>
    <row r="27">
      <c r="L27" s="12">
        <f t="shared" ref="L27:L28" si="2">L26</f>
        <v>110833.3333</v>
      </c>
      <c r="M27" s="15" t="s">
        <v>76</v>
      </c>
    </row>
    <row r="28">
      <c r="L28" s="12">
        <f t="shared" si="2"/>
        <v>110833.3333</v>
      </c>
      <c r="M28" s="15" t="s">
        <v>77</v>
      </c>
    </row>
  </sheetData>
  <mergeCells count="1">
    <mergeCell ref="D13:L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22.13"/>
    <col customWidth="1" min="4" max="4" width="18.25"/>
    <col customWidth="1" min="5" max="5" width="14.25"/>
    <col customWidth="1" min="6" max="6" width="15.88"/>
    <col customWidth="1" min="8" max="8" width="13.5"/>
    <col customWidth="1" min="9" max="9" width="11.88"/>
    <col customWidth="1" min="10" max="10" width="11.0"/>
    <col customWidth="1" min="11" max="11" width="6.75"/>
    <col customWidth="1" min="12" max="12" width="11.88"/>
    <col customWidth="1" min="13" max="13" width="7.63"/>
  </cols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50" t="s">
        <v>6</v>
      </c>
    </row>
    <row r="2">
      <c r="A2" s="51" t="s">
        <v>25</v>
      </c>
      <c r="B2" s="1" t="s">
        <v>117</v>
      </c>
      <c r="C2" s="1" t="s">
        <v>118</v>
      </c>
      <c r="D2" s="3">
        <v>100.0</v>
      </c>
      <c r="F2" s="14"/>
    </row>
    <row r="3">
      <c r="B3" s="1" t="s">
        <v>119</v>
      </c>
      <c r="D3" s="3">
        <v>90000.0</v>
      </c>
      <c r="E3" s="52"/>
      <c r="F3" s="11"/>
    </row>
    <row r="4">
      <c r="B4" s="1" t="s">
        <v>119</v>
      </c>
      <c r="D4" s="3">
        <v>50000.0</v>
      </c>
      <c r="E4" s="52"/>
      <c r="F4" s="11"/>
    </row>
    <row r="5">
      <c r="B5" s="1" t="s">
        <v>122</v>
      </c>
      <c r="D5" s="3">
        <v>90000.0</v>
      </c>
      <c r="E5" s="52"/>
      <c r="F5" s="11"/>
    </row>
    <row r="6">
      <c r="B6" s="1" t="s">
        <v>122</v>
      </c>
      <c r="D6" s="3">
        <v>50000.0</v>
      </c>
      <c r="E6" s="52"/>
      <c r="F6" s="11"/>
    </row>
    <row r="7">
      <c r="B7" s="1" t="s">
        <v>123</v>
      </c>
      <c r="D7" s="3">
        <v>90000.0</v>
      </c>
      <c r="E7" s="52"/>
      <c r="F7" s="11"/>
    </row>
    <row r="8">
      <c r="B8" s="1" t="s">
        <v>124</v>
      </c>
      <c r="D8" s="3">
        <v>50000.0</v>
      </c>
      <c r="E8" s="52"/>
      <c r="F8" s="11"/>
    </row>
    <row r="9">
      <c r="B9" s="1" t="s">
        <v>125</v>
      </c>
      <c r="D9" s="3">
        <v>80000.0</v>
      </c>
      <c r="F9" s="11"/>
    </row>
    <row r="10">
      <c r="A10" s="1" t="s">
        <v>42</v>
      </c>
      <c r="D10" s="13"/>
      <c r="E10" s="1" t="s">
        <v>43</v>
      </c>
      <c r="F10" s="11">
        <v>140000.0</v>
      </c>
    </row>
    <row r="11">
      <c r="D11" s="13"/>
      <c r="E11" s="1" t="s">
        <v>63</v>
      </c>
      <c r="F11" s="11">
        <v>140000.0</v>
      </c>
      <c r="H11" s="13">
        <v>500100.0</v>
      </c>
      <c r="J11" s="15" t="s">
        <v>129</v>
      </c>
    </row>
    <row r="12">
      <c r="D12" s="13"/>
      <c r="E12" s="1" t="s">
        <v>130</v>
      </c>
      <c r="F12" s="11">
        <v>140000.0</v>
      </c>
      <c r="H12" s="53">
        <v>420100.0</v>
      </c>
      <c r="I12" s="13">
        <f>H11-H12</f>
        <v>80000</v>
      </c>
      <c r="J12" s="16" t="s">
        <v>131</v>
      </c>
      <c r="K12" s="1" t="s">
        <v>133</v>
      </c>
    </row>
    <row r="13">
      <c r="D13" s="13"/>
      <c r="E13" s="1" t="s">
        <v>134</v>
      </c>
      <c r="F13" s="11">
        <v>100.0</v>
      </c>
      <c r="H13" s="15"/>
      <c r="J13" s="16"/>
    </row>
    <row r="14">
      <c r="B14" s="1" t="s">
        <v>136</v>
      </c>
      <c r="D14" s="3">
        <v>90000.0</v>
      </c>
      <c r="F14" s="14"/>
      <c r="H14" s="15"/>
      <c r="J14" s="16"/>
    </row>
    <row r="15">
      <c r="B15" s="1" t="s">
        <v>136</v>
      </c>
      <c r="D15" s="3">
        <v>90000.0</v>
      </c>
      <c r="F15" s="14"/>
      <c r="H15" s="15"/>
      <c r="J15" s="16"/>
    </row>
    <row r="16">
      <c r="B16" s="1" t="s">
        <v>137</v>
      </c>
      <c r="D16" s="3">
        <v>9000.0</v>
      </c>
      <c r="F16" s="14"/>
      <c r="H16" s="15"/>
      <c r="J16" s="16"/>
    </row>
    <row r="17">
      <c r="B17" s="1" t="s">
        <v>137</v>
      </c>
      <c r="D17" s="3">
        <v>25000.0</v>
      </c>
      <c r="F17" s="14"/>
      <c r="H17" s="15"/>
      <c r="J17" s="16"/>
    </row>
    <row r="18">
      <c r="B18" s="1" t="s">
        <v>137</v>
      </c>
      <c r="D18" s="3">
        <v>20000.0</v>
      </c>
      <c r="F18" s="14"/>
      <c r="H18" s="15"/>
      <c r="J18" s="16"/>
    </row>
    <row r="19">
      <c r="B19" s="1" t="s">
        <v>138</v>
      </c>
      <c r="D19" s="3">
        <v>91000.0</v>
      </c>
      <c r="F19" s="14"/>
      <c r="H19" s="15"/>
      <c r="J19" s="16"/>
    </row>
    <row r="20">
      <c r="B20" s="1" t="s">
        <v>138</v>
      </c>
      <c r="D20" s="3">
        <v>25000.0</v>
      </c>
      <c r="F20" s="14"/>
      <c r="H20" s="15"/>
      <c r="J20" s="16"/>
    </row>
    <row r="21">
      <c r="B21" s="1" t="s">
        <v>138</v>
      </c>
      <c r="D21" s="3">
        <v>10000.0</v>
      </c>
      <c r="F21" s="14"/>
      <c r="H21" s="15" t="s">
        <v>14</v>
      </c>
      <c r="I21" s="1" t="s">
        <v>140</v>
      </c>
      <c r="J21" s="16" t="s">
        <v>141</v>
      </c>
    </row>
    <row r="22">
      <c r="A22" s="1" t="s">
        <v>14</v>
      </c>
      <c r="D22" s="13"/>
      <c r="E22" s="1" t="s">
        <v>138</v>
      </c>
      <c r="F22" s="11">
        <v>140000.0</v>
      </c>
      <c r="H22" s="15">
        <v>140000.0</v>
      </c>
      <c r="I22" s="3">
        <v>360000.0</v>
      </c>
      <c r="J22" s="56">
        <f>SUM(I22:I23)-SUM(H22:H30)</f>
        <v>1090000</v>
      </c>
      <c r="K22" s="1" t="s">
        <v>133</v>
      </c>
    </row>
    <row r="23">
      <c r="B23" s="1" t="s">
        <v>144</v>
      </c>
      <c r="D23" s="3">
        <v>1000000.0</v>
      </c>
      <c r="F23" s="14"/>
      <c r="H23" s="15"/>
      <c r="I23" s="3">
        <v>1000000.0</v>
      </c>
      <c r="J23" s="16"/>
    </row>
    <row r="24">
      <c r="D24" s="13"/>
      <c r="E24" s="1" t="s">
        <v>145</v>
      </c>
      <c r="F24" s="11">
        <v>25000.0</v>
      </c>
      <c r="H24" s="15">
        <v>25000.0</v>
      </c>
      <c r="J24" s="16"/>
    </row>
    <row r="25">
      <c r="D25" s="13"/>
      <c r="E25" s="1" t="s">
        <v>146</v>
      </c>
      <c r="F25" s="11">
        <v>20000.0</v>
      </c>
      <c r="H25" s="15">
        <v>20000.0</v>
      </c>
      <c r="J25" s="16"/>
    </row>
    <row r="26">
      <c r="D26" s="13"/>
      <c r="E26" s="1" t="s">
        <v>147</v>
      </c>
      <c r="F26" s="11">
        <v>10000.0</v>
      </c>
      <c r="H26" s="15">
        <v>10000.0</v>
      </c>
      <c r="J26" s="16"/>
    </row>
    <row r="27">
      <c r="D27" s="13"/>
      <c r="E27" s="1" t="s">
        <v>148</v>
      </c>
      <c r="F27" s="11">
        <v>20000.0</v>
      </c>
      <c r="H27" s="15">
        <v>20000.0</v>
      </c>
      <c r="J27" s="16"/>
    </row>
    <row r="28">
      <c r="D28" s="13"/>
      <c r="E28" s="1" t="s">
        <v>150</v>
      </c>
      <c r="F28" s="11">
        <v>20000.0</v>
      </c>
      <c r="H28" s="15">
        <v>20000.0</v>
      </c>
      <c r="J28" s="16"/>
    </row>
    <row r="29">
      <c r="D29" s="13"/>
      <c r="E29" s="1" t="s">
        <v>151</v>
      </c>
      <c r="F29" s="11">
        <v>30000.0</v>
      </c>
      <c r="H29" s="15">
        <v>30000.0</v>
      </c>
      <c r="J29" s="16"/>
    </row>
    <row r="30">
      <c r="D30" s="13"/>
      <c r="E30" s="1" t="s">
        <v>153</v>
      </c>
      <c r="F30" s="11">
        <v>5000.0</v>
      </c>
      <c r="H30" s="15">
        <v>5000.0</v>
      </c>
      <c r="J30" s="16"/>
    </row>
    <row r="31">
      <c r="D31" s="13"/>
      <c r="F31" s="14"/>
      <c r="H31" s="15"/>
      <c r="J31" s="16"/>
    </row>
    <row r="32">
      <c r="D32" s="13"/>
      <c r="F32" s="14"/>
      <c r="H32" s="15"/>
      <c r="J32" s="16"/>
    </row>
    <row r="33">
      <c r="D33" s="13"/>
      <c r="F33" s="14"/>
      <c r="H33" s="15"/>
      <c r="J33" s="16"/>
    </row>
    <row r="34">
      <c r="D34" s="13"/>
      <c r="F34" s="14"/>
      <c r="H34" s="15"/>
      <c r="J34" s="16"/>
    </row>
    <row r="35">
      <c r="D35" s="13"/>
      <c r="F35" s="14"/>
      <c r="H35" s="15" t="s">
        <v>26</v>
      </c>
      <c r="J35" s="16" t="s">
        <v>157</v>
      </c>
    </row>
    <row r="36">
      <c r="D36" s="13">
        <f>SUM(D2:D34)</f>
        <v>1860100</v>
      </c>
      <c r="F36" s="14">
        <f>SUM(F2:F34)</f>
        <v>690100</v>
      </c>
      <c r="H36" s="18">
        <f>F36/D36</f>
        <v>0.3710015591</v>
      </c>
      <c r="J36" s="59"/>
    </row>
    <row r="37">
      <c r="D37" s="13"/>
      <c r="F37" s="14"/>
      <c r="J37" s="59"/>
    </row>
    <row r="38">
      <c r="D38" s="13"/>
      <c r="F38" s="14"/>
      <c r="J38" s="59"/>
    </row>
    <row r="39">
      <c r="D39" s="13"/>
      <c r="F39" s="14"/>
    </row>
    <row r="40">
      <c r="D40" s="13"/>
      <c r="F40" s="14"/>
    </row>
    <row r="41">
      <c r="D41" s="13"/>
      <c r="F41" s="14"/>
    </row>
    <row r="42">
      <c r="C42" s="22" t="s">
        <v>41</v>
      </c>
      <c r="D42" s="23"/>
      <c r="E42" s="23"/>
      <c r="F42" s="23"/>
      <c r="G42" s="23"/>
      <c r="H42" s="23"/>
      <c r="I42" s="23"/>
      <c r="J42" s="24"/>
    </row>
    <row r="43">
      <c r="C43" s="27"/>
      <c r="D43" s="28"/>
      <c r="E43" s="28"/>
      <c r="F43" s="28"/>
      <c r="G43" s="28"/>
      <c r="H43" s="28"/>
      <c r="I43" s="28"/>
      <c r="J43" s="29"/>
    </row>
    <row r="44">
      <c r="C44" s="32"/>
      <c r="D44" s="32" t="s">
        <v>49</v>
      </c>
      <c r="E44" s="32" t="s">
        <v>51</v>
      </c>
      <c r="F44" s="34" t="s">
        <v>52</v>
      </c>
      <c r="G44" s="32"/>
      <c r="H44" s="32" t="s">
        <v>54</v>
      </c>
      <c r="I44" s="32" t="s">
        <v>56</v>
      </c>
      <c r="J44" s="32" t="s">
        <v>57</v>
      </c>
    </row>
    <row r="45">
      <c r="C45" s="1" t="s">
        <v>59</v>
      </c>
      <c r="D45" s="11">
        <f>D2</f>
        <v>100</v>
      </c>
      <c r="E45" s="1">
        <v>3.0</v>
      </c>
      <c r="F45" s="11">
        <v>6.0</v>
      </c>
      <c r="H45" s="17">
        <f>D45*E45/100</f>
        <v>3</v>
      </c>
      <c r="I45" s="17">
        <f>H45*F45</f>
        <v>18</v>
      </c>
      <c r="J45" s="14">
        <f>D45+I45</f>
        <v>118</v>
      </c>
    </row>
    <row r="46">
      <c r="D46" s="11"/>
      <c r="F46" s="11"/>
    </row>
    <row r="47">
      <c r="D47" s="11"/>
      <c r="F47" s="11"/>
    </row>
    <row r="48">
      <c r="D48" s="14"/>
      <c r="F48" s="14"/>
    </row>
    <row r="49">
      <c r="D49" s="14"/>
      <c r="F49" s="14"/>
      <c r="J49" s="19">
        <f>SUM(J45:J47)</f>
        <v>118</v>
      </c>
    </row>
    <row r="50">
      <c r="D50" s="14"/>
      <c r="F50" s="14"/>
    </row>
    <row r="51">
      <c r="D51" s="14"/>
      <c r="F51" s="14"/>
    </row>
    <row r="52">
      <c r="F52" s="14"/>
      <c r="H52" s="39" t="s">
        <v>62</v>
      </c>
      <c r="J52" s="19">
        <f>F36</f>
        <v>690100</v>
      </c>
    </row>
    <row r="53">
      <c r="F53" s="14"/>
    </row>
    <row r="54">
      <c r="F54" s="14"/>
      <c r="H54" s="39" t="s">
        <v>72</v>
      </c>
      <c r="J54" s="60">
        <f>J49-J52</f>
        <v>-689982</v>
      </c>
      <c r="L54" s="43" t="s">
        <v>69</v>
      </c>
    </row>
    <row r="55">
      <c r="F55" s="14"/>
      <c r="L55" s="12">
        <f>J54/3</f>
        <v>-229994</v>
      </c>
      <c r="M55" s="15" t="s">
        <v>79</v>
      </c>
    </row>
    <row r="56">
      <c r="D56" s="14"/>
      <c r="F56" s="14"/>
      <c r="L56" s="12">
        <f t="shared" ref="L56:L57" si="1">L55</f>
        <v>-229994</v>
      </c>
      <c r="M56" s="15" t="s">
        <v>82</v>
      </c>
    </row>
    <row r="57">
      <c r="D57" s="14"/>
      <c r="F57" s="14"/>
      <c r="L57" s="12">
        <f t="shared" si="1"/>
        <v>-229994</v>
      </c>
      <c r="M57" s="15" t="s">
        <v>84</v>
      </c>
    </row>
    <row r="58">
      <c r="D58" s="14"/>
      <c r="F58" s="14"/>
    </row>
  </sheetData>
  <mergeCells count="1">
    <mergeCell ref="C42:J4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9.88"/>
    <col customWidth="1" min="4" max="4" width="18.25"/>
    <col customWidth="1" min="5" max="5" width="14.25"/>
    <col customWidth="1" min="6" max="6" width="15.88"/>
    <col customWidth="1" min="7" max="7" width="13.0"/>
    <col customWidth="1" min="8" max="9" width="11.88"/>
    <col customWidth="1" min="10" max="10" width="11.0"/>
    <col customWidth="1" min="11" max="11" width="6.75"/>
    <col customWidth="1" min="12" max="12" width="11.88"/>
    <col customWidth="1" min="13" max="13" width="9.38"/>
  </cols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50" t="s">
        <v>6</v>
      </c>
      <c r="J1" s="1" t="s">
        <v>126</v>
      </c>
    </row>
    <row r="2">
      <c r="A2" s="51" t="s">
        <v>25</v>
      </c>
      <c r="B2" s="1" t="s">
        <v>127</v>
      </c>
      <c r="C2" s="1" t="s">
        <v>128</v>
      </c>
      <c r="D2" s="3">
        <v>500000.0</v>
      </c>
      <c r="F2" s="14"/>
      <c r="H2" s="1">
        <v>500000.0</v>
      </c>
      <c r="J2" s="1">
        <v>21.0</v>
      </c>
      <c r="L2" s="17">
        <f>500000*21/100</f>
        <v>105000</v>
      </c>
    </row>
    <row r="3">
      <c r="A3" s="15" t="s">
        <v>23</v>
      </c>
      <c r="B3" s="20"/>
      <c r="C3" s="20"/>
      <c r="D3" s="41"/>
      <c r="E3" s="15" t="s">
        <v>63</v>
      </c>
      <c r="F3" s="53">
        <v>105000.0</v>
      </c>
      <c r="G3" s="54" t="s">
        <v>132</v>
      </c>
      <c r="H3" s="1"/>
      <c r="I3" s="1">
        <v>5000.0</v>
      </c>
    </row>
    <row r="4">
      <c r="A4" s="1" t="s">
        <v>25</v>
      </c>
      <c r="B4" s="1" t="s">
        <v>135</v>
      </c>
      <c r="D4" s="3">
        <f>100000+400000</f>
        <v>500000</v>
      </c>
      <c r="E4" s="52"/>
      <c r="F4" s="11"/>
      <c r="H4" s="1">
        <v>400000.0</v>
      </c>
      <c r="J4" s="1">
        <v>21.0</v>
      </c>
      <c r="L4" s="17">
        <f>500000*21/100</f>
        <v>105000</v>
      </c>
    </row>
    <row r="5">
      <c r="A5" s="15" t="s">
        <v>14</v>
      </c>
      <c r="B5" s="20"/>
      <c r="C5" s="20"/>
      <c r="D5" s="41"/>
      <c r="E5" s="15" t="s">
        <v>139</v>
      </c>
      <c r="F5" s="53">
        <v>105000.0</v>
      </c>
      <c r="I5" s="1">
        <v>105000.0</v>
      </c>
    </row>
    <row r="6">
      <c r="A6" s="15" t="s">
        <v>14</v>
      </c>
      <c r="B6" s="20"/>
      <c r="C6" s="20"/>
      <c r="D6" s="41"/>
      <c r="E6" s="15" t="s">
        <v>142</v>
      </c>
      <c r="F6" s="53">
        <v>105000.0</v>
      </c>
      <c r="I6" s="1">
        <v>105000.0</v>
      </c>
    </row>
    <row r="7">
      <c r="A7" s="1" t="s">
        <v>25</v>
      </c>
      <c r="B7" s="1" t="s">
        <v>143</v>
      </c>
      <c r="D7" s="3">
        <v>200000.0</v>
      </c>
      <c r="F7" s="11"/>
      <c r="J7" s="1">
        <v>25.0</v>
      </c>
      <c r="L7" s="17">
        <f>500000*J7/100</f>
        <v>125000</v>
      </c>
    </row>
    <row r="8">
      <c r="A8" s="1" t="s">
        <v>25</v>
      </c>
      <c r="B8" s="1" t="s">
        <v>143</v>
      </c>
      <c r="D8" s="3">
        <v>100000.0</v>
      </c>
      <c r="F8" s="14"/>
      <c r="J8" s="1">
        <v>21.0</v>
      </c>
    </row>
    <row r="9">
      <c r="A9" s="15" t="s">
        <v>14</v>
      </c>
      <c r="B9" s="20"/>
      <c r="C9" s="20"/>
      <c r="D9" s="12"/>
      <c r="E9" s="20"/>
      <c r="F9" s="53">
        <v>210000.0</v>
      </c>
      <c r="G9" s="54" t="s">
        <v>149</v>
      </c>
      <c r="H9" s="1">
        <v>300000.0</v>
      </c>
      <c r="I9" s="1">
        <v>10000.0</v>
      </c>
      <c r="J9" s="58"/>
    </row>
    <row r="10">
      <c r="A10" s="1" t="s">
        <v>25</v>
      </c>
      <c r="B10" s="1" t="s">
        <v>152</v>
      </c>
      <c r="D10" s="3">
        <v>200000.0</v>
      </c>
      <c r="F10" s="14"/>
      <c r="J10" s="58">
        <v>0.21</v>
      </c>
      <c r="L10" s="1">
        <v>335000.0</v>
      </c>
    </row>
    <row r="11">
      <c r="A11" s="1" t="s">
        <v>14</v>
      </c>
      <c r="D11" s="13"/>
      <c r="E11" s="1" t="s">
        <v>154</v>
      </c>
      <c r="F11" s="11">
        <v>335000.0</v>
      </c>
      <c r="H11" s="1">
        <v>165000.0</v>
      </c>
      <c r="J11" s="58"/>
      <c r="L11" s="1">
        <v>60000.0</v>
      </c>
    </row>
    <row r="12">
      <c r="A12" s="1" t="s">
        <v>25</v>
      </c>
      <c r="B12" s="1" t="s">
        <v>155</v>
      </c>
      <c r="D12" s="3">
        <v>90000.0</v>
      </c>
      <c r="F12" s="14"/>
      <c r="J12" s="58"/>
      <c r="L12" s="1">
        <v>15000.0</v>
      </c>
    </row>
    <row r="13">
      <c r="B13" s="1" t="s">
        <v>156</v>
      </c>
      <c r="D13" s="3">
        <v>60000.0</v>
      </c>
      <c r="F13" s="14"/>
      <c r="J13" s="58"/>
    </row>
    <row r="14">
      <c r="B14" s="1" t="s">
        <v>156</v>
      </c>
      <c r="D14" s="3">
        <v>15000.0</v>
      </c>
      <c r="F14" s="14"/>
      <c r="H14" s="17">
        <f>SUM(H1:H13)</f>
        <v>1365000</v>
      </c>
      <c r="J14" s="58"/>
    </row>
    <row r="15">
      <c r="B15" s="1" t="s">
        <v>158</v>
      </c>
      <c r="D15" s="13">
        <f>F11</f>
        <v>335000</v>
      </c>
      <c r="F15" s="14"/>
      <c r="J15" s="58">
        <v>0.05</v>
      </c>
    </row>
    <row r="16">
      <c r="A16" s="1" t="s">
        <v>23</v>
      </c>
      <c r="B16" s="1" t="s">
        <v>159</v>
      </c>
      <c r="D16" s="13"/>
      <c r="E16" s="1" t="s">
        <v>159</v>
      </c>
      <c r="F16" s="11">
        <v>300000.0</v>
      </c>
      <c r="I16" s="1">
        <v>300000.0</v>
      </c>
      <c r="J16" s="58"/>
    </row>
    <row r="17">
      <c r="A17" s="1"/>
      <c r="D17" s="13"/>
      <c r="F17" s="14"/>
      <c r="J17" s="58"/>
    </row>
    <row r="18">
      <c r="A18" s="1"/>
      <c r="D18" s="13"/>
      <c r="F18" s="14"/>
      <c r="J18" s="58"/>
    </row>
    <row r="19">
      <c r="D19" s="13"/>
      <c r="F19" s="14"/>
      <c r="J19" s="58"/>
    </row>
    <row r="20">
      <c r="D20" s="13"/>
      <c r="F20" s="11"/>
      <c r="H20" s="15" t="s">
        <v>26</v>
      </c>
      <c r="J20" s="16" t="s">
        <v>157</v>
      </c>
    </row>
    <row r="21">
      <c r="D21" s="13">
        <f>SUM(D2:D19)</f>
        <v>2000000</v>
      </c>
      <c r="F21" s="14">
        <f>SUM(F2:F20)</f>
        <v>1160000</v>
      </c>
      <c r="H21" s="18">
        <f>F21/D21</f>
        <v>0.58</v>
      </c>
      <c r="I21" s="17">
        <f>Sum(I1:I19)</f>
        <v>525000</v>
      </c>
      <c r="J21" s="59"/>
    </row>
    <row r="22">
      <c r="D22" s="13"/>
      <c r="F22" s="14"/>
      <c r="J22" s="59"/>
    </row>
    <row r="23">
      <c r="D23" s="13"/>
      <c r="F23" s="14"/>
      <c r="J23" s="59"/>
    </row>
    <row r="24">
      <c r="D24" s="13"/>
      <c r="F24" s="14"/>
      <c r="J24" s="17">
        <f>H14-I21</f>
        <v>840000</v>
      </c>
    </row>
    <row r="25">
      <c r="D25" s="13"/>
      <c r="F25" s="14"/>
    </row>
    <row r="26">
      <c r="D26" s="13"/>
      <c r="F26" s="14"/>
    </row>
    <row r="27">
      <c r="C27" s="22" t="s">
        <v>41</v>
      </c>
      <c r="D27" s="23"/>
      <c r="E27" s="23"/>
      <c r="F27" s="23"/>
      <c r="G27" s="23"/>
      <c r="H27" s="23"/>
      <c r="I27" s="23"/>
      <c r="J27" s="24"/>
    </row>
    <row r="28">
      <c r="C28" s="27"/>
      <c r="D28" s="28"/>
      <c r="E28" s="28"/>
      <c r="F28" s="28"/>
      <c r="G28" s="28"/>
      <c r="H28" s="28"/>
      <c r="I28" s="28"/>
      <c r="J28" s="29"/>
    </row>
    <row r="29">
      <c r="C29" s="32"/>
      <c r="D29" s="32" t="s">
        <v>49</v>
      </c>
      <c r="E29" s="32" t="s">
        <v>51</v>
      </c>
      <c r="F29" s="34" t="s">
        <v>52</v>
      </c>
      <c r="G29" s="32"/>
      <c r="H29" s="32" t="s">
        <v>54</v>
      </c>
      <c r="I29" s="32" t="s">
        <v>56</v>
      </c>
      <c r="J29" s="32" t="s">
        <v>57</v>
      </c>
    </row>
    <row r="30">
      <c r="C30" s="1" t="s">
        <v>59</v>
      </c>
      <c r="D30" s="11">
        <f>D2</f>
        <v>500000</v>
      </c>
      <c r="F30" s="11">
        <v>9.0</v>
      </c>
      <c r="H30" s="17">
        <f t="shared" ref="H30:H33" si="1">D30*E30/100</f>
        <v>0</v>
      </c>
      <c r="I30" s="17">
        <f t="shared" ref="I30:I33" si="2">H30*F30</f>
        <v>0</v>
      </c>
      <c r="J30" s="14">
        <f t="shared" ref="J30:J33" si="3">D30+I30</f>
        <v>500000</v>
      </c>
    </row>
    <row r="31">
      <c r="C31" s="1" t="s">
        <v>165</v>
      </c>
      <c r="D31" s="11">
        <v>500000.0</v>
      </c>
      <c r="F31" s="11">
        <v>7.0</v>
      </c>
      <c r="H31" s="17">
        <f t="shared" si="1"/>
        <v>0</v>
      </c>
      <c r="I31" s="17">
        <f t="shared" si="2"/>
        <v>0</v>
      </c>
      <c r="J31" s="14">
        <f t="shared" si="3"/>
        <v>500000</v>
      </c>
    </row>
    <row r="32">
      <c r="C32" s="1" t="s">
        <v>113</v>
      </c>
      <c r="D32" s="11">
        <v>500000.0</v>
      </c>
      <c r="F32" s="11">
        <v>6.0</v>
      </c>
      <c r="H32" s="17">
        <f t="shared" si="1"/>
        <v>0</v>
      </c>
      <c r="I32" s="17">
        <f t="shared" si="2"/>
        <v>0</v>
      </c>
      <c r="J32" s="14">
        <f t="shared" si="3"/>
        <v>500000</v>
      </c>
    </row>
    <row r="33">
      <c r="C33" s="1" t="s">
        <v>166</v>
      </c>
      <c r="D33" s="11">
        <v>500000.0</v>
      </c>
      <c r="F33" s="11">
        <v>5.0</v>
      </c>
      <c r="H33" s="17">
        <f t="shared" si="1"/>
        <v>0</v>
      </c>
      <c r="I33" s="17">
        <f t="shared" si="2"/>
        <v>0</v>
      </c>
      <c r="J33" s="14">
        <f t="shared" si="3"/>
        <v>500000</v>
      </c>
    </row>
    <row r="34">
      <c r="D34" s="14"/>
      <c r="F34" s="14"/>
      <c r="J34" s="20"/>
    </row>
    <row r="35">
      <c r="D35" s="14"/>
      <c r="F35" s="14"/>
      <c r="J35" s="19">
        <f>SUM(J30:J33)</f>
        <v>2000000</v>
      </c>
    </row>
    <row r="36">
      <c r="D36" s="14"/>
      <c r="F36" s="14"/>
    </row>
    <row r="37">
      <c r="D37" s="14"/>
      <c r="F37" s="14"/>
    </row>
    <row r="38">
      <c r="F38" s="14"/>
      <c r="H38" s="39" t="s">
        <v>62</v>
      </c>
      <c r="J38" s="19">
        <f>F21</f>
        <v>1160000</v>
      </c>
    </row>
    <row r="39">
      <c r="F39" s="14"/>
    </row>
    <row r="40" ht="39.75" customHeight="1">
      <c r="F40" s="14"/>
      <c r="H40" s="39" t="s">
        <v>72</v>
      </c>
      <c r="J40" s="60">
        <f>J35-J38</f>
        <v>840000</v>
      </c>
      <c r="L40" s="43" t="s">
        <v>69</v>
      </c>
    </row>
    <row r="41">
      <c r="F41" s="14"/>
      <c r="L41" s="12">
        <f>J40/3</f>
        <v>280000</v>
      </c>
      <c r="M41" s="15" t="s">
        <v>167</v>
      </c>
    </row>
    <row r="42">
      <c r="D42" s="14"/>
      <c r="F42" s="14"/>
      <c r="L42" s="12">
        <f t="shared" ref="L42:L43" si="4">L41</f>
        <v>280000</v>
      </c>
      <c r="M42" s="15" t="s">
        <v>168</v>
      </c>
    </row>
    <row r="43">
      <c r="D43" s="14"/>
      <c r="F43" s="14"/>
      <c r="L43" s="12">
        <f t="shared" si="4"/>
        <v>280000</v>
      </c>
      <c r="M43" s="15" t="s">
        <v>169</v>
      </c>
    </row>
    <row r="44">
      <c r="D44" s="14"/>
      <c r="F44" s="14"/>
    </row>
  </sheetData>
  <mergeCells count="1">
    <mergeCell ref="C27:J28"/>
  </mergeCells>
  <printOptions gridLines="1" horizontalCentered="1"/>
  <pageMargins bottom="0.75" footer="0.0" header="0.0" left="0.7" right="0.7" top="0.75"/>
  <pageSetup fitToHeight="0" paperSize="6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50" t="s">
        <v>6</v>
      </c>
    </row>
    <row r="2">
      <c r="A2" s="51" t="s">
        <v>25</v>
      </c>
      <c r="B2" s="1" t="s">
        <v>160</v>
      </c>
      <c r="C2" s="1" t="s">
        <v>161</v>
      </c>
      <c r="D2" s="3">
        <v>600000.0</v>
      </c>
      <c r="F2" s="14"/>
    </row>
    <row r="3">
      <c r="D3" s="3"/>
      <c r="E3" s="52">
        <v>45360.0</v>
      </c>
      <c r="F3" s="11">
        <v>25000.0</v>
      </c>
    </row>
    <row r="4">
      <c r="D4" s="3"/>
      <c r="E4" s="52">
        <v>45371.0</v>
      </c>
      <c r="F4" s="11">
        <v>20000.0</v>
      </c>
    </row>
    <row r="5">
      <c r="D5" s="3"/>
      <c r="E5" s="52">
        <v>45379.0</v>
      </c>
      <c r="F5" s="11">
        <v>120000.0</v>
      </c>
    </row>
    <row r="6">
      <c r="D6" s="3"/>
      <c r="E6" s="52">
        <v>45383.0</v>
      </c>
      <c r="F6" s="11">
        <v>162000.0</v>
      </c>
    </row>
    <row r="7">
      <c r="D7" s="3"/>
      <c r="F7" s="11"/>
    </row>
    <row r="8">
      <c r="D8" s="13"/>
      <c r="F8" s="14"/>
    </row>
    <row r="9">
      <c r="D9" s="13"/>
      <c r="F9" s="14"/>
      <c r="J9" s="58">
        <v>0.05</v>
      </c>
    </row>
    <row r="10">
      <c r="D10" s="13"/>
      <c r="F10" s="14"/>
      <c r="H10" s="15" t="s">
        <v>26</v>
      </c>
      <c r="J10" s="16" t="s">
        <v>157</v>
      </c>
    </row>
    <row r="11">
      <c r="D11" s="13">
        <f>SUM(D2:D8)</f>
        <v>600000</v>
      </c>
      <c r="F11" s="14">
        <f>SUM(F2:F8)</f>
        <v>327000</v>
      </c>
      <c r="H11" s="18">
        <f>F11/D11</f>
        <v>0.545</v>
      </c>
      <c r="J11" s="59">
        <f>(D11)*5/100</f>
        <v>30000</v>
      </c>
      <c r="K11" s="1" t="s">
        <v>162</v>
      </c>
    </row>
    <row r="12">
      <c r="D12" s="13"/>
      <c r="F12" s="14"/>
      <c r="J12" s="59">
        <f t="shared" ref="J12:J13" si="1">J11</f>
        <v>30000</v>
      </c>
      <c r="K12" s="1" t="s">
        <v>163</v>
      </c>
    </row>
    <row r="13">
      <c r="D13" s="13"/>
      <c r="F13" s="14"/>
      <c r="J13" s="59">
        <f t="shared" si="1"/>
        <v>30000</v>
      </c>
      <c r="K13" s="1" t="s">
        <v>164</v>
      </c>
    </row>
    <row r="14">
      <c r="D14" s="13"/>
      <c r="F14" s="14"/>
    </row>
    <row r="15">
      <c r="D15" s="13"/>
      <c r="F15" s="14"/>
    </row>
    <row r="16">
      <c r="D16" s="13"/>
      <c r="F16" s="14"/>
    </row>
    <row r="17">
      <c r="C17" s="22" t="s">
        <v>41</v>
      </c>
      <c r="D17" s="23"/>
      <c r="E17" s="23"/>
      <c r="F17" s="23"/>
      <c r="G17" s="23"/>
      <c r="H17" s="23"/>
      <c r="I17" s="23"/>
      <c r="J17" s="24"/>
    </row>
    <row r="18">
      <c r="C18" s="27"/>
      <c r="D18" s="28"/>
      <c r="E18" s="28"/>
      <c r="F18" s="28"/>
      <c r="G18" s="28"/>
      <c r="H18" s="28"/>
      <c r="I18" s="28"/>
      <c r="J18" s="29"/>
    </row>
    <row r="19">
      <c r="C19" s="32"/>
      <c r="D19" s="32" t="s">
        <v>49</v>
      </c>
      <c r="E19" s="32" t="s">
        <v>51</v>
      </c>
      <c r="F19" s="34" t="s">
        <v>52</v>
      </c>
      <c r="G19" s="32"/>
      <c r="H19" s="32" t="s">
        <v>54</v>
      </c>
      <c r="I19" s="32" t="s">
        <v>56</v>
      </c>
      <c r="J19" s="32" t="s">
        <v>57</v>
      </c>
    </row>
    <row r="20">
      <c r="C20" s="1" t="s">
        <v>59</v>
      </c>
      <c r="D20" s="11">
        <f>D2</f>
        <v>600000</v>
      </c>
      <c r="E20" s="1">
        <v>3.0</v>
      </c>
      <c r="F20" s="11">
        <v>6.0</v>
      </c>
      <c r="H20" s="17">
        <f>D20*E20/100</f>
        <v>18000</v>
      </c>
      <c r="I20" s="17">
        <f>H20*F20</f>
        <v>108000</v>
      </c>
      <c r="J20" s="14">
        <f>D20+I20</f>
        <v>708000</v>
      </c>
    </row>
    <row r="21">
      <c r="D21" s="11"/>
      <c r="F21" s="11"/>
    </row>
    <row r="22">
      <c r="D22" s="11"/>
      <c r="F22" s="11"/>
    </row>
    <row r="23">
      <c r="D23" s="14"/>
      <c r="F23" s="14"/>
    </row>
    <row r="24">
      <c r="D24" s="14"/>
      <c r="F24" s="14"/>
      <c r="J24" s="19">
        <f>SUM(J20:J22)</f>
        <v>708000</v>
      </c>
    </row>
    <row r="25">
      <c r="D25" s="14"/>
      <c r="F25" s="14"/>
    </row>
    <row r="26">
      <c r="D26" s="14"/>
      <c r="F26" s="14"/>
    </row>
    <row r="27">
      <c r="F27" s="14"/>
      <c r="H27" s="39" t="s">
        <v>62</v>
      </c>
      <c r="J27" s="19">
        <f>F11</f>
        <v>327000</v>
      </c>
    </row>
    <row r="28">
      <c r="F28" s="14"/>
    </row>
    <row r="29">
      <c r="F29" s="14"/>
      <c r="H29" s="39" t="s">
        <v>72</v>
      </c>
      <c r="J29" s="60">
        <f>J24-J27</f>
        <v>381000</v>
      </c>
      <c r="L29" s="43" t="s">
        <v>69</v>
      </c>
    </row>
    <row r="30">
      <c r="F30" s="14"/>
      <c r="L30" s="12">
        <f>J29/3</f>
        <v>127000</v>
      </c>
      <c r="M30" s="15" t="s">
        <v>79</v>
      </c>
    </row>
    <row r="31">
      <c r="D31" s="14"/>
      <c r="F31" s="14"/>
      <c r="L31" s="12">
        <f t="shared" ref="L31:L32" si="2">L30</f>
        <v>127000</v>
      </c>
      <c r="M31" s="15" t="s">
        <v>82</v>
      </c>
    </row>
    <row r="32">
      <c r="D32" s="14"/>
      <c r="F32" s="14"/>
      <c r="L32" s="12">
        <f t="shared" si="2"/>
        <v>127000</v>
      </c>
      <c r="M32" s="15" t="s">
        <v>84</v>
      </c>
    </row>
    <row r="33">
      <c r="D33" s="14"/>
      <c r="F33" s="14"/>
    </row>
  </sheetData>
  <mergeCells count="1">
    <mergeCell ref="C17:J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50" t="s">
        <v>6</v>
      </c>
    </row>
    <row r="2">
      <c r="A2" s="51" t="s">
        <v>25</v>
      </c>
      <c r="B2" s="1" t="s">
        <v>160</v>
      </c>
      <c r="C2" s="1" t="s">
        <v>161</v>
      </c>
      <c r="D2" s="3">
        <v>600000.0</v>
      </c>
      <c r="F2" s="14"/>
    </row>
    <row r="3">
      <c r="D3" s="3"/>
      <c r="E3" s="52">
        <v>45360.0</v>
      </c>
      <c r="F3" s="11">
        <v>25000.0</v>
      </c>
    </row>
    <row r="4">
      <c r="D4" s="3"/>
      <c r="E4" s="52">
        <v>45371.0</v>
      </c>
      <c r="F4" s="11">
        <v>20000.0</v>
      </c>
    </row>
    <row r="5">
      <c r="D5" s="3"/>
      <c r="E5" s="52">
        <v>45379.0</v>
      </c>
      <c r="F5" s="11">
        <v>120000.0</v>
      </c>
    </row>
    <row r="6">
      <c r="D6" s="3"/>
      <c r="E6" s="52">
        <v>45383.0</v>
      </c>
      <c r="F6" s="11">
        <v>162000.0</v>
      </c>
    </row>
    <row r="7">
      <c r="D7" s="3"/>
      <c r="F7" s="11"/>
    </row>
    <row r="8">
      <c r="D8" s="13"/>
      <c r="F8" s="14"/>
    </row>
    <row r="9">
      <c r="D9" s="13"/>
      <c r="F9" s="14"/>
      <c r="J9" s="58">
        <v>0.05</v>
      </c>
    </row>
    <row r="10">
      <c r="D10" s="13"/>
      <c r="F10" s="14"/>
      <c r="H10" s="15" t="s">
        <v>26</v>
      </c>
      <c r="J10" s="16" t="s">
        <v>157</v>
      </c>
    </row>
    <row r="11">
      <c r="D11" s="13">
        <f>SUM(D2:D8)</f>
        <v>600000</v>
      </c>
      <c r="F11" s="14">
        <f>SUM(F2:F8)</f>
        <v>327000</v>
      </c>
      <c r="H11" s="18">
        <f>F11/D11</f>
        <v>0.545</v>
      </c>
      <c r="J11" s="59">
        <f>(D11)*5/100</f>
        <v>30000</v>
      </c>
      <c r="K11" s="1" t="s">
        <v>162</v>
      </c>
    </row>
    <row r="12">
      <c r="D12" s="13"/>
      <c r="F12" s="14"/>
      <c r="J12" s="59">
        <f t="shared" ref="J12:J13" si="1">J11</f>
        <v>30000</v>
      </c>
      <c r="K12" s="1" t="s">
        <v>163</v>
      </c>
    </row>
    <row r="13">
      <c r="D13" s="13"/>
      <c r="F13" s="14"/>
      <c r="J13" s="59">
        <f t="shared" si="1"/>
        <v>30000</v>
      </c>
      <c r="K13" s="1" t="s">
        <v>164</v>
      </c>
    </row>
    <row r="14">
      <c r="D14" s="13"/>
      <c r="F14" s="14"/>
    </row>
    <row r="15">
      <c r="D15" s="13"/>
      <c r="F15" s="14"/>
    </row>
    <row r="16">
      <c r="D16" s="13"/>
      <c r="F16" s="14"/>
    </row>
    <row r="17">
      <c r="C17" s="22" t="s">
        <v>41</v>
      </c>
      <c r="D17" s="23"/>
      <c r="E17" s="23"/>
      <c r="F17" s="23"/>
      <c r="G17" s="23"/>
      <c r="H17" s="23"/>
      <c r="I17" s="23"/>
      <c r="J17" s="24"/>
    </row>
    <row r="18">
      <c r="C18" s="27"/>
      <c r="D18" s="28"/>
      <c r="E18" s="28"/>
      <c r="F18" s="28"/>
      <c r="G18" s="28"/>
      <c r="H18" s="28"/>
      <c r="I18" s="28"/>
      <c r="J18" s="29"/>
    </row>
    <row r="19">
      <c r="C19" s="32"/>
      <c r="D19" s="32" t="s">
        <v>49</v>
      </c>
      <c r="E19" s="32" t="s">
        <v>51</v>
      </c>
      <c r="F19" s="34" t="s">
        <v>52</v>
      </c>
      <c r="G19" s="32"/>
      <c r="H19" s="32" t="s">
        <v>54</v>
      </c>
      <c r="I19" s="32" t="s">
        <v>56</v>
      </c>
      <c r="J19" s="32" t="s">
        <v>57</v>
      </c>
    </row>
    <row r="20">
      <c r="C20" s="1" t="s">
        <v>59</v>
      </c>
      <c r="D20" s="11">
        <f>D2</f>
        <v>600000</v>
      </c>
      <c r="E20" s="1">
        <v>3.0</v>
      </c>
      <c r="F20" s="11">
        <v>6.0</v>
      </c>
      <c r="H20" s="17">
        <f>D20*E20/100</f>
        <v>18000</v>
      </c>
      <c r="I20" s="17">
        <f>H20*F20</f>
        <v>108000</v>
      </c>
      <c r="J20" s="14">
        <f>D20+I20</f>
        <v>708000</v>
      </c>
    </row>
    <row r="21">
      <c r="D21" s="11"/>
      <c r="F21" s="11"/>
    </row>
    <row r="22">
      <c r="D22" s="11"/>
      <c r="F22" s="11"/>
    </row>
    <row r="23">
      <c r="D23" s="14"/>
      <c r="F23" s="14"/>
    </row>
    <row r="24">
      <c r="D24" s="14"/>
      <c r="F24" s="14"/>
      <c r="J24" s="19">
        <f>SUM(J20:J22)</f>
        <v>708000</v>
      </c>
    </row>
    <row r="25">
      <c r="D25" s="14"/>
      <c r="F25" s="14"/>
    </row>
    <row r="26">
      <c r="D26" s="14"/>
      <c r="F26" s="14"/>
    </row>
    <row r="27">
      <c r="F27" s="14"/>
      <c r="H27" s="39" t="s">
        <v>62</v>
      </c>
      <c r="J27" s="19">
        <f>F11</f>
        <v>327000</v>
      </c>
    </row>
    <row r="28">
      <c r="F28" s="14"/>
    </row>
    <row r="29">
      <c r="F29" s="14"/>
      <c r="H29" s="39" t="s">
        <v>72</v>
      </c>
      <c r="J29" s="60">
        <f>J24-J27</f>
        <v>381000</v>
      </c>
      <c r="L29" s="43" t="s">
        <v>69</v>
      </c>
    </row>
    <row r="30">
      <c r="F30" s="14"/>
      <c r="L30" s="12">
        <f>J29/3</f>
        <v>127000</v>
      </c>
      <c r="M30" s="15" t="s">
        <v>79</v>
      </c>
    </row>
    <row r="31">
      <c r="D31" s="14"/>
      <c r="F31" s="14"/>
      <c r="L31" s="12">
        <f t="shared" ref="L31:L32" si="2">L30</f>
        <v>127000</v>
      </c>
      <c r="M31" s="15" t="s">
        <v>82</v>
      </c>
    </row>
    <row r="32">
      <c r="D32" s="14"/>
      <c r="F32" s="14"/>
      <c r="L32" s="12">
        <f t="shared" si="2"/>
        <v>127000</v>
      </c>
      <c r="M32" s="15" t="s">
        <v>84</v>
      </c>
    </row>
    <row r="33">
      <c r="D33" s="14"/>
      <c r="F33" s="14"/>
    </row>
  </sheetData>
  <mergeCells count="1">
    <mergeCell ref="C17:J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3" max="4" width="19.63"/>
    <col customWidth="1" min="5" max="5" width="16.38"/>
    <col customWidth="1" min="6" max="6" width="17.0"/>
    <col customWidth="1" min="8" max="8" width="27.63"/>
    <col customWidth="1" min="9" max="9" width="11.88"/>
    <col customWidth="1" min="10" max="10" width="11.0"/>
    <col customWidth="1" min="11" max="11" width="9.38"/>
    <col customWidth="1" min="12" max="12" width="11.88"/>
    <col customWidth="1" min="13" max="13" width="7.63"/>
  </cols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50" t="s">
        <v>6</v>
      </c>
    </row>
    <row r="2">
      <c r="A2" s="51" t="s">
        <v>25</v>
      </c>
      <c r="B2" s="1" t="s">
        <v>160</v>
      </c>
      <c r="C2" s="1" t="s">
        <v>161</v>
      </c>
      <c r="D2" s="3">
        <v>600000.0</v>
      </c>
      <c r="F2" s="14"/>
    </row>
    <row r="3">
      <c r="D3" s="3"/>
      <c r="E3" s="52">
        <v>45360.0</v>
      </c>
      <c r="F3" s="11">
        <v>25000.0</v>
      </c>
    </row>
    <row r="4">
      <c r="D4" s="3"/>
      <c r="E4" s="52">
        <v>45371.0</v>
      </c>
      <c r="F4" s="11">
        <v>20000.0</v>
      </c>
    </row>
    <row r="5">
      <c r="D5" s="3"/>
      <c r="E5" s="52">
        <v>45379.0</v>
      </c>
      <c r="F5" s="11">
        <v>120000.0</v>
      </c>
    </row>
    <row r="6">
      <c r="D6" s="3"/>
      <c r="E6" s="52">
        <v>45383.0</v>
      </c>
      <c r="F6" s="11">
        <v>162000.0</v>
      </c>
    </row>
    <row r="7" ht="12.75" customHeight="1">
      <c r="D7" s="3"/>
      <c r="F7" s="11"/>
    </row>
    <row r="8">
      <c r="D8" s="13"/>
      <c r="F8" s="14"/>
    </row>
    <row r="9">
      <c r="D9" s="13"/>
      <c r="F9" s="14"/>
      <c r="J9" s="58">
        <v>0.05</v>
      </c>
    </row>
    <row r="10">
      <c r="D10" s="13"/>
      <c r="F10" s="14"/>
      <c r="H10" s="15" t="s">
        <v>26</v>
      </c>
      <c r="J10" s="16" t="s">
        <v>157</v>
      </c>
    </row>
    <row r="11">
      <c r="D11" s="13">
        <f>SUM(D2:D8)</f>
        <v>600000</v>
      </c>
      <c r="F11" s="14">
        <f>SUM(F2:F8)</f>
        <v>327000</v>
      </c>
      <c r="H11" s="18">
        <f>F11/D11</f>
        <v>0.545</v>
      </c>
      <c r="J11" s="59">
        <f>(D11)*5/100</f>
        <v>30000</v>
      </c>
      <c r="K11" s="1" t="s">
        <v>162</v>
      </c>
    </row>
    <row r="12">
      <c r="D12" s="13"/>
      <c r="F12" s="14"/>
      <c r="J12" s="59">
        <f t="shared" ref="J12:J13" si="1">J11</f>
        <v>30000</v>
      </c>
      <c r="K12" s="1" t="s">
        <v>163</v>
      </c>
    </row>
    <row r="13">
      <c r="D13" s="13"/>
      <c r="F13" s="14"/>
      <c r="J13" s="59">
        <f t="shared" si="1"/>
        <v>30000</v>
      </c>
      <c r="K13" s="1" t="s">
        <v>164</v>
      </c>
    </row>
    <row r="14">
      <c r="D14" s="13"/>
      <c r="F14" s="14"/>
    </row>
    <row r="15">
      <c r="D15" s="13"/>
      <c r="F15" s="14"/>
    </row>
    <row r="16">
      <c r="D16" s="13"/>
      <c r="F16" s="14"/>
    </row>
    <row r="17">
      <c r="C17" s="22" t="s">
        <v>41</v>
      </c>
      <c r="D17" s="23"/>
      <c r="E17" s="23"/>
      <c r="F17" s="23"/>
      <c r="G17" s="23"/>
      <c r="H17" s="23"/>
      <c r="I17" s="23"/>
      <c r="J17" s="24"/>
    </row>
    <row r="18">
      <c r="C18" s="27"/>
      <c r="D18" s="28"/>
      <c r="E18" s="28"/>
      <c r="F18" s="28"/>
      <c r="G18" s="28"/>
      <c r="H18" s="28"/>
      <c r="I18" s="28"/>
      <c r="J18" s="29"/>
    </row>
    <row r="19">
      <c r="C19" s="32"/>
      <c r="D19" s="32" t="s">
        <v>49</v>
      </c>
      <c r="E19" s="32" t="s">
        <v>51</v>
      </c>
      <c r="F19" s="34" t="s">
        <v>52</v>
      </c>
      <c r="G19" s="32"/>
      <c r="H19" s="32" t="s">
        <v>54</v>
      </c>
      <c r="I19" s="32" t="s">
        <v>56</v>
      </c>
      <c r="J19" s="32" t="s">
        <v>57</v>
      </c>
      <c r="Q19" s="61"/>
    </row>
    <row r="20">
      <c r="C20" s="1" t="s">
        <v>59</v>
      </c>
      <c r="D20" s="11">
        <f>D2</f>
        <v>600000</v>
      </c>
      <c r="E20" s="1">
        <v>3.0</v>
      </c>
      <c r="F20" s="11">
        <v>6.0</v>
      </c>
      <c r="H20" s="17">
        <f>D20*E20/100</f>
        <v>18000</v>
      </c>
      <c r="I20" s="17">
        <f>H20*F20</f>
        <v>108000</v>
      </c>
      <c r="J20" s="14">
        <f>D20+I20</f>
        <v>708000</v>
      </c>
    </row>
    <row r="21">
      <c r="D21" s="11"/>
      <c r="F21" s="11"/>
    </row>
    <row r="22">
      <c r="D22" s="11"/>
      <c r="F22" s="11"/>
    </row>
    <row r="23">
      <c r="D23" s="14"/>
      <c r="F23" s="14"/>
    </row>
    <row r="24">
      <c r="D24" s="14"/>
      <c r="F24" s="14"/>
      <c r="J24" s="19">
        <f>SUM(J20:J22)</f>
        <v>708000</v>
      </c>
    </row>
    <row r="25">
      <c r="D25" s="14"/>
      <c r="F25" s="14"/>
    </row>
    <row r="26">
      <c r="D26" s="14"/>
      <c r="F26" s="14"/>
    </row>
    <row r="27">
      <c r="F27" s="14"/>
      <c r="H27" s="39" t="s">
        <v>62</v>
      </c>
      <c r="J27" s="19">
        <f>F11</f>
        <v>327000</v>
      </c>
    </row>
    <row r="28">
      <c r="F28" s="14"/>
    </row>
    <row r="29">
      <c r="F29" s="14"/>
      <c r="H29" s="39" t="s">
        <v>72</v>
      </c>
      <c r="J29" s="60">
        <f>J24-J27</f>
        <v>381000</v>
      </c>
      <c r="L29" s="43" t="s">
        <v>69</v>
      </c>
    </row>
    <row r="30">
      <c r="F30" s="14"/>
      <c r="L30" s="12">
        <f>J29/3</f>
        <v>127000</v>
      </c>
      <c r="M30" s="15" t="s">
        <v>79</v>
      </c>
    </row>
    <row r="31">
      <c r="D31" s="14"/>
      <c r="F31" s="14"/>
      <c r="L31" s="12">
        <f t="shared" ref="L31:L32" si="2">L30</f>
        <v>127000</v>
      </c>
      <c r="M31" s="15" t="s">
        <v>82</v>
      </c>
    </row>
    <row r="32">
      <c r="D32" s="14"/>
      <c r="F32" s="14"/>
      <c r="L32" s="12">
        <f t="shared" si="2"/>
        <v>127000</v>
      </c>
      <c r="M32" s="15" t="s">
        <v>84</v>
      </c>
    </row>
    <row r="33">
      <c r="D33" s="14"/>
      <c r="F33" s="14"/>
    </row>
    <row r="34">
      <c r="D34" s="14"/>
      <c r="F34" s="14"/>
    </row>
    <row r="35">
      <c r="F35" s="14"/>
    </row>
    <row r="36">
      <c r="F36" s="14"/>
    </row>
    <row r="37">
      <c r="F37" s="14"/>
    </row>
  </sheetData>
  <mergeCells count="1">
    <mergeCell ref="C17:J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63"/>
    <col customWidth="1" min="3" max="3" width="14.0"/>
    <col customWidth="1" min="4" max="4" width="40.88"/>
    <col customWidth="1" min="5" max="5" width="13.38"/>
    <col customWidth="1" min="6" max="6" width="14.88"/>
    <col customWidth="1" min="8" max="8" width="19.25"/>
    <col customWidth="1" min="9" max="9" width="12.13"/>
    <col customWidth="1" min="10" max="10" width="13.38"/>
    <col customWidth="1" min="11" max="11" width="17.0"/>
    <col customWidth="1" min="13" max="13" width="4.75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</row>
    <row r="2">
      <c r="A2" s="1" t="s">
        <v>8</v>
      </c>
      <c r="B2" s="1" t="s">
        <v>170</v>
      </c>
      <c r="C2" s="3" t="s">
        <v>171</v>
      </c>
      <c r="D2" s="3">
        <v>25000.0</v>
      </c>
      <c r="F2" s="3"/>
      <c r="J2" s="7">
        <v>0.1</v>
      </c>
      <c r="M2" s="17">
        <f>D2*J2</f>
        <v>2500</v>
      </c>
    </row>
    <row r="3">
      <c r="E3" s="1" t="s">
        <v>172</v>
      </c>
      <c r="F3" s="1">
        <v>2500.0</v>
      </c>
    </row>
    <row r="4">
      <c r="E4" s="1" t="s">
        <v>125</v>
      </c>
      <c r="F4" s="1">
        <v>2500.0</v>
      </c>
    </row>
    <row r="5">
      <c r="E5" s="1" t="s">
        <v>43</v>
      </c>
      <c r="F5" s="1">
        <v>2500.0</v>
      </c>
    </row>
    <row r="6">
      <c r="E6" s="1" t="s">
        <v>73</v>
      </c>
      <c r="F6" s="1">
        <v>2500.0</v>
      </c>
    </row>
    <row r="7">
      <c r="E7" s="1" t="s">
        <v>87</v>
      </c>
      <c r="F7" s="1">
        <v>2500.0</v>
      </c>
    </row>
    <row r="8">
      <c r="E8" s="1" t="s">
        <v>173</v>
      </c>
      <c r="F8" s="1">
        <v>2500.0</v>
      </c>
    </row>
    <row r="9">
      <c r="E9" s="1" t="s">
        <v>174</v>
      </c>
      <c r="F9" s="1">
        <v>2500.0</v>
      </c>
    </row>
    <row r="10">
      <c r="E10" s="1" t="s">
        <v>175</v>
      </c>
      <c r="F10" s="1">
        <v>2500.0</v>
      </c>
    </row>
    <row r="11">
      <c r="E11" s="1" t="s">
        <v>176</v>
      </c>
      <c r="F11" s="1">
        <v>2500.0</v>
      </c>
    </row>
    <row r="16">
      <c r="H16" s="15" t="s">
        <v>26</v>
      </c>
    </row>
    <row r="17">
      <c r="D17" s="13">
        <f>SUM(D2:D15)</f>
        <v>25000</v>
      </c>
      <c r="F17" s="13">
        <f>SUM(F2:F15)</f>
        <v>22500</v>
      </c>
      <c r="H17" s="18">
        <f>F17/D17</f>
        <v>0.9</v>
      </c>
      <c r="J17" s="16" t="s">
        <v>177</v>
      </c>
    </row>
    <row r="18">
      <c r="J18" s="59">
        <f>D17*3/100</f>
        <v>750</v>
      </c>
      <c r="K18" s="1" t="s">
        <v>178</v>
      </c>
    </row>
    <row r="19">
      <c r="J19" s="59">
        <f t="shared" ref="J19:J20" si="1">J18</f>
        <v>750</v>
      </c>
      <c r="K19" s="1" t="s">
        <v>163</v>
      </c>
    </row>
    <row r="20">
      <c r="J20" s="59">
        <f t="shared" si="1"/>
        <v>750</v>
      </c>
      <c r="K20" s="1" t="s">
        <v>179</v>
      </c>
    </row>
    <row r="23">
      <c r="D23" s="22" t="s">
        <v>41</v>
      </c>
      <c r="E23" s="23"/>
      <c r="F23" s="23"/>
      <c r="G23" s="23"/>
      <c r="H23" s="23"/>
      <c r="I23" s="23"/>
      <c r="J23" s="23"/>
      <c r="K23" s="24"/>
    </row>
    <row r="24">
      <c r="D24" s="27"/>
      <c r="E24" s="28"/>
      <c r="F24" s="28"/>
      <c r="G24" s="28"/>
      <c r="H24" s="28"/>
      <c r="I24" s="28"/>
      <c r="J24" s="28"/>
      <c r="K24" s="29"/>
    </row>
    <row r="26">
      <c r="D26" s="62" t="s">
        <v>180</v>
      </c>
      <c r="E26" s="63" t="s">
        <v>48</v>
      </c>
      <c r="F26" s="63" t="s">
        <v>50</v>
      </c>
      <c r="G26" s="64"/>
      <c r="H26" s="63" t="s">
        <v>53</v>
      </c>
      <c r="I26" s="62" t="s">
        <v>55</v>
      </c>
      <c r="J26" s="21"/>
      <c r="K26" s="21"/>
      <c r="L26" s="21"/>
      <c r="M26" s="21"/>
    </row>
    <row r="27">
      <c r="D27" s="3">
        <f>D17</f>
        <v>25000</v>
      </c>
      <c r="E27" s="1">
        <v>3.0</v>
      </c>
      <c r="F27" s="1">
        <v>9.0</v>
      </c>
      <c r="H27" s="17">
        <f>D27*E27/100</f>
        <v>750</v>
      </c>
      <c r="I27" s="13">
        <f>H27*F27</f>
        <v>6750</v>
      </c>
    </row>
    <row r="28">
      <c r="D28" s="13"/>
      <c r="H28" s="1"/>
      <c r="I28" s="13"/>
    </row>
    <row r="29">
      <c r="D29" s="13"/>
      <c r="I29" s="13"/>
    </row>
    <row r="30">
      <c r="D30" s="13"/>
    </row>
    <row r="31">
      <c r="D31" s="13"/>
    </row>
    <row r="32">
      <c r="D32" s="13"/>
      <c r="I32" s="12">
        <f>D27+I27</f>
        <v>31750</v>
      </c>
    </row>
    <row r="33">
      <c r="D33" s="13"/>
    </row>
    <row r="34">
      <c r="D34" s="13"/>
      <c r="H34" s="39" t="s">
        <v>62</v>
      </c>
      <c r="I34" s="12">
        <f>F17</f>
        <v>22500</v>
      </c>
    </row>
    <row r="35">
      <c r="D35" s="13"/>
    </row>
    <row r="36">
      <c r="D36" s="10"/>
      <c r="E36" s="10"/>
      <c r="F36" s="10"/>
      <c r="G36" s="10"/>
      <c r="H36" s="39" t="s">
        <v>72</v>
      </c>
      <c r="I36" s="46">
        <f>I32-I34</f>
        <v>9250</v>
      </c>
      <c r="K36" s="47" t="s">
        <v>69</v>
      </c>
    </row>
    <row r="37">
      <c r="D37" s="10"/>
      <c r="E37" s="10"/>
      <c r="F37" s="10"/>
      <c r="G37" s="10"/>
      <c r="K37" s="12">
        <f>I36/3</f>
        <v>3083.333333</v>
      </c>
      <c r="L37" s="15" t="s">
        <v>79</v>
      </c>
    </row>
    <row r="38">
      <c r="D38" s="13"/>
      <c r="K38" s="12">
        <f t="shared" ref="K38:K39" si="2">K37</f>
        <v>3083.333333</v>
      </c>
      <c r="L38" s="15" t="s">
        <v>82</v>
      </c>
    </row>
    <row r="39">
      <c r="D39" s="13"/>
      <c r="K39" s="12">
        <f t="shared" si="2"/>
        <v>3083.333333</v>
      </c>
      <c r="L39" s="15" t="s">
        <v>84</v>
      </c>
    </row>
    <row r="40">
      <c r="D40" s="13"/>
    </row>
  </sheetData>
  <mergeCells count="1">
    <mergeCell ref="D23:K2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8" max="8" width="19.25"/>
    <col customWidth="1" min="9" max="9" width="17.75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</row>
    <row r="2">
      <c r="A2" s="1" t="s">
        <v>25</v>
      </c>
      <c r="B2" s="1" t="s">
        <v>181</v>
      </c>
      <c r="C2" s="3" t="s">
        <v>182</v>
      </c>
      <c r="D2" s="3">
        <v>50000.0</v>
      </c>
      <c r="F2" s="3"/>
      <c r="J2" s="7">
        <v>0.15</v>
      </c>
      <c r="M2" s="17">
        <f>D2*J2</f>
        <v>7500</v>
      </c>
    </row>
    <row r="3">
      <c r="A3" s="15" t="s">
        <v>23</v>
      </c>
      <c r="B3" s="20"/>
      <c r="C3" s="20"/>
      <c r="D3" s="20"/>
      <c r="E3" s="15" t="s">
        <v>63</v>
      </c>
      <c r="F3" s="15">
        <v>3750.0</v>
      </c>
    </row>
    <row r="4">
      <c r="A4" s="15" t="s">
        <v>23</v>
      </c>
      <c r="B4" s="20"/>
      <c r="C4" s="20"/>
      <c r="D4" s="20"/>
      <c r="E4" s="15" t="s">
        <v>183</v>
      </c>
      <c r="F4" s="15">
        <v>7500.0</v>
      </c>
    </row>
    <row r="5">
      <c r="A5" s="15" t="s">
        <v>23</v>
      </c>
      <c r="B5" s="20"/>
      <c r="C5" s="20"/>
      <c r="D5" s="20"/>
      <c r="E5" s="15" t="s">
        <v>184</v>
      </c>
      <c r="F5" s="15">
        <v>7500.0</v>
      </c>
    </row>
    <row r="6">
      <c r="A6" s="15" t="s">
        <v>23</v>
      </c>
      <c r="B6" s="20"/>
      <c r="C6" s="20"/>
      <c r="D6" s="20"/>
      <c r="E6" s="15" t="s">
        <v>185</v>
      </c>
      <c r="F6" s="15">
        <v>3750.0</v>
      </c>
    </row>
    <row r="7">
      <c r="A7" s="15" t="s">
        <v>23</v>
      </c>
      <c r="B7" s="20"/>
      <c r="C7" s="20"/>
      <c r="D7" s="20"/>
      <c r="E7" s="15" t="s">
        <v>186</v>
      </c>
      <c r="F7" s="15">
        <v>3750.0</v>
      </c>
    </row>
    <row r="11">
      <c r="D11" s="13">
        <f>SUM(D2:D9)</f>
        <v>50000</v>
      </c>
      <c r="F11" s="13">
        <f>SUM(F2:F9)</f>
        <v>26250</v>
      </c>
    </row>
    <row r="17">
      <c r="D17" s="22" t="s">
        <v>41</v>
      </c>
      <c r="E17" s="23"/>
      <c r="F17" s="23"/>
      <c r="G17" s="23"/>
      <c r="H17" s="23"/>
      <c r="I17" s="23"/>
      <c r="J17" s="23"/>
      <c r="K17" s="24"/>
    </row>
    <row r="18">
      <c r="D18" s="27"/>
      <c r="E18" s="28"/>
      <c r="F18" s="28"/>
      <c r="G18" s="28"/>
      <c r="H18" s="28"/>
      <c r="I18" s="28"/>
      <c r="J18" s="28"/>
      <c r="K18" s="29"/>
    </row>
    <row r="20">
      <c r="D20" s="32" t="s">
        <v>187</v>
      </c>
      <c r="E20" s="32" t="s">
        <v>48</v>
      </c>
      <c r="F20" s="32" t="s">
        <v>50</v>
      </c>
      <c r="G20" s="65"/>
      <c r="H20" s="32" t="s">
        <v>53</v>
      </c>
      <c r="I20" s="32" t="s">
        <v>55</v>
      </c>
    </row>
    <row r="21">
      <c r="D21" s="3">
        <f>D2</f>
        <v>50000</v>
      </c>
      <c r="E21" s="1">
        <v>3.0</v>
      </c>
      <c r="F21" s="1">
        <v>0.0</v>
      </c>
      <c r="H21" s="17">
        <f>D21*E21/100</f>
        <v>1500</v>
      </c>
      <c r="I21" s="17">
        <f>H21*F21</f>
        <v>0</v>
      </c>
    </row>
    <row r="22">
      <c r="H22" s="1" t="s">
        <v>191</v>
      </c>
      <c r="I22" s="13">
        <f>I21+D21</f>
        <v>50000</v>
      </c>
    </row>
    <row r="23">
      <c r="H23" s="15" t="s">
        <v>192</v>
      </c>
      <c r="I23" s="20">
        <f>SUM(F3:F7)</f>
        <v>26250</v>
      </c>
    </row>
    <row r="25">
      <c r="H25" s="15" t="s">
        <v>195</v>
      </c>
      <c r="I25" s="12">
        <f>I22-I23</f>
        <v>23750</v>
      </c>
    </row>
  </sheetData>
  <mergeCells count="1">
    <mergeCell ref="D17:K1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63"/>
    <col customWidth="1" min="3" max="3" width="14.0"/>
    <col customWidth="1" min="4" max="4" width="16.88"/>
    <col customWidth="1" min="5" max="5" width="13.38"/>
    <col customWidth="1" min="6" max="6" width="24.25"/>
    <col customWidth="1" min="7" max="7" width="5.63"/>
    <col customWidth="1" min="8" max="8" width="19.25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  <c r="I1" s="1" t="s">
        <v>188</v>
      </c>
      <c r="J1" s="1" t="s">
        <v>189</v>
      </c>
    </row>
    <row r="2">
      <c r="A2" s="1" t="s">
        <v>8</v>
      </c>
      <c r="B2" s="1" t="s">
        <v>181</v>
      </c>
      <c r="C2" s="3" t="s">
        <v>190</v>
      </c>
      <c r="D2" s="3">
        <v>150000.0</v>
      </c>
      <c r="F2" s="3"/>
      <c r="H2" s="1">
        <v>15.0</v>
      </c>
      <c r="I2" s="17">
        <f>D2*15/100</f>
        <v>22500</v>
      </c>
      <c r="J2" s="17">
        <f>D8*20/100</f>
        <v>40000</v>
      </c>
    </row>
    <row r="3">
      <c r="A3" s="1" t="s">
        <v>193</v>
      </c>
      <c r="C3" s="3"/>
      <c r="D3" s="3"/>
      <c r="E3" s="1" t="s">
        <v>43</v>
      </c>
      <c r="F3" s="3">
        <v>22500.0</v>
      </c>
    </row>
    <row r="4">
      <c r="A4" s="1" t="s">
        <v>193</v>
      </c>
      <c r="C4" s="3"/>
      <c r="D4" s="3"/>
      <c r="E4" s="1" t="s">
        <v>194</v>
      </c>
      <c r="F4" s="3">
        <v>22500.0</v>
      </c>
    </row>
    <row r="5">
      <c r="A5" s="1"/>
      <c r="B5" s="20"/>
      <c r="C5" s="12"/>
      <c r="D5" s="12"/>
      <c r="E5" s="15" t="s">
        <v>196</v>
      </c>
      <c r="F5" s="41">
        <v>22500.0</v>
      </c>
      <c r="G5" s="15"/>
    </row>
    <row r="6">
      <c r="A6" s="1" t="s">
        <v>193</v>
      </c>
      <c r="B6" s="20"/>
      <c r="C6" s="12"/>
      <c r="D6" s="12"/>
      <c r="E6" s="15" t="s">
        <v>197</v>
      </c>
      <c r="F6" s="41">
        <v>22000.0</v>
      </c>
      <c r="G6" s="15"/>
    </row>
    <row r="7">
      <c r="A7" s="1" t="s">
        <v>193</v>
      </c>
      <c r="B7" s="20"/>
      <c r="C7" s="12"/>
      <c r="D7" s="12"/>
      <c r="E7" s="15" t="s">
        <v>197</v>
      </c>
      <c r="F7" s="41">
        <v>500.0</v>
      </c>
      <c r="G7" s="20"/>
    </row>
    <row r="8">
      <c r="A8" s="1" t="s">
        <v>8</v>
      </c>
      <c r="B8" s="15"/>
      <c r="C8" s="3" t="s">
        <v>190</v>
      </c>
      <c r="D8" s="41">
        <v>200000.0</v>
      </c>
      <c r="E8" s="15"/>
      <c r="F8" s="41"/>
      <c r="G8" s="20"/>
      <c r="H8" s="1">
        <v>20.0</v>
      </c>
    </row>
    <row r="9">
      <c r="A9" s="1" t="s">
        <v>193</v>
      </c>
      <c r="B9" s="20"/>
      <c r="C9" s="12"/>
      <c r="D9" s="12"/>
      <c r="E9" s="15" t="s">
        <v>198</v>
      </c>
      <c r="F9" s="41">
        <v>8000.0</v>
      </c>
      <c r="G9" s="20"/>
    </row>
    <row r="10">
      <c r="A10" s="1" t="s">
        <v>193</v>
      </c>
      <c r="B10" s="20"/>
      <c r="C10" s="12"/>
      <c r="D10" s="12"/>
      <c r="E10" s="15" t="s">
        <v>198</v>
      </c>
      <c r="F10" s="41">
        <v>22500.0</v>
      </c>
      <c r="G10" s="20"/>
    </row>
    <row r="11">
      <c r="A11" s="1" t="s">
        <v>193</v>
      </c>
      <c r="C11" s="3"/>
      <c r="D11" s="3"/>
      <c r="E11" s="1" t="s">
        <v>199</v>
      </c>
      <c r="F11" s="3">
        <v>22500.0</v>
      </c>
      <c r="G11" s="20"/>
    </row>
    <row r="12">
      <c r="A12" s="1" t="s">
        <v>193</v>
      </c>
      <c r="C12" s="3"/>
      <c r="D12" s="3"/>
      <c r="E12" s="1" t="s">
        <v>200</v>
      </c>
      <c r="F12" s="3">
        <v>47500.0</v>
      </c>
      <c r="G12" s="20"/>
    </row>
    <row r="13">
      <c r="C13" s="3"/>
      <c r="D13" s="3"/>
      <c r="E13" s="1" t="s">
        <v>201</v>
      </c>
      <c r="F13" s="3"/>
      <c r="G13" s="20"/>
    </row>
    <row r="14">
      <c r="A14" s="15"/>
      <c r="B14" s="20"/>
      <c r="C14" s="12"/>
      <c r="D14" s="12"/>
      <c r="E14" s="15" t="s">
        <v>22</v>
      </c>
      <c r="F14" s="3"/>
      <c r="G14" s="15"/>
      <c r="H14" s="20"/>
    </row>
    <row r="15">
      <c r="A15" s="15"/>
      <c r="B15" s="20"/>
      <c r="C15" s="12"/>
      <c r="D15" s="12"/>
      <c r="E15" s="15" t="s">
        <v>202</v>
      </c>
      <c r="F15" s="3"/>
      <c r="G15" s="15"/>
      <c r="H15" s="20"/>
    </row>
    <row r="16">
      <c r="A16" s="15"/>
      <c r="B16" s="15"/>
      <c r="C16" s="12"/>
      <c r="D16" s="12"/>
      <c r="E16" s="15"/>
      <c r="F16" s="12"/>
      <c r="G16" s="15"/>
      <c r="H16" s="1" t="s">
        <v>26</v>
      </c>
    </row>
    <row r="17">
      <c r="C17" s="3"/>
      <c r="D17" s="3">
        <f>SUM(D2:D8)</f>
        <v>350000</v>
      </c>
      <c r="F17" s="3">
        <f>SUM(F2:F16)</f>
        <v>190500</v>
      </c>
      <c r="G17" s="20"/>
      <c r="H17" s="18">
        <f>F17/D17</f>
        <v>0.5442857143</v>
      </c>
      <c r="J17" s="17">
        <f>D17*5/100</f>
        <v>17500</v>
      </c>
    </row>
    <row r="18">
      <c r="C18" s="3"/>
      <c r="D18" s="3"/>
      <c r="F18" s="3"/>
      <c r="G18" s="20"/>
    </row>
    <row r="19">
      <c r="C19" s="3" t="s">
        <v>203</v>
      </c>
      <c r="D19" s="3">
        <f>D17-F17</f>
        <v>159500</v>
      </c>
      <c r="F19" s="3"/>
      <c r="G19" s="20"/>
    </row>
    <row r="20">
      <c r="C20" s="3" t="s">
        <v>204</v>
      </c>
      <c r="D20" s="3">
        <f>D19*2/100</f>
        <v>3190</v>
      </c>
      <c r="F20" s="3"/>
      <c r="G20" s="20"/>
      <c r="H20" s="13">
        <f>D17-F17</f>
        <v>159500</v>
      </c>
    </row>
    <row r="21">
      <c r="C21" s="3" t="s">
        <v>205</v>
      </c>
      <c r="D21" s="3">
        <f>D20*27</f>
        <v>86130</v>
      </c>
      <c r="F21" s="3"/>
      <c r="G21" s="20"/>
    </row>
    <row r="22">
      <c r="C22" s="3"/>
      <c r="D22" s="3"/>
      <c r="F22" s="3"/>
      <c r="G22" s="20"/>
    </row>
    <row r="23">
      <c r="C23" s="3"/>
      <c r="D23" s="3"/>
      <c r="F23" s="3"/>
      <c r="G23" s="20"/>
    </row>
    <row r="24">
      <c r="A24" s="15"/>
      <c r="B24" s="20"/>
      <c r="C24" s="12"/>
      <c r="D24" s="22" t="s">
        <v>41</v>
      </c>
      <c r="E24" s="23"/>
      <c r="F24" s="23"/>
      <c r="G24" s="23"/>
      <c r="H24" s="23"/>
      <c r="I24" s="23"/>
      <c r="J24" s="23"/>
      <c r="K24" s="24"/>
    </row>
    <row r="25">
      <c r="C25" s="3"/>
      <c r="D25" s="27"/>
      <c r="E25" s="28"/>
      <c r="F25" s="28"/>
      <c r="G25" s="28"/>
      <c r="H25" s="28"/>
      <c r="I25" s="28"/>
      <c r="J25" s="28"/>
      <c r="K25" s="29"/>
    </row>
    <row r="26">
      <c r="C26" s="3"/>
    </row>
    <row r="27">
      <c r="C27" s="3"/>
      <c r="D27" s="32" t="s">
        <v>187</v>
      </c>
      <c r="E27" s="32" t="s">
        <v>48</v>
      </c>
      <c r="F27" s="32" t="s">
        <v>50</v>
      </c>
      <c r="G27" s="65"/>
      <c r="H27" s="32" t="s">
        <v>53</v>
      </c>
      <c r="I27" s="32" t="s">
        <v>55</v>
      </c>
    </row>
    <row r="28">
      <c r="A28" s="15"/>
      <c r="B28" s="20"/>
      <c r="C28" s="12"/>
      <c r="D28" s="3">
        <f>D2</f>
        <v>150000</v>
      </c>
      <c r="E28" s="1">
        <v>0.75</v>
      </c>
      <c r="F28" s="1">
        <v>22.0</v>
      </c>
      <c r="H28" s="17">
        <f t="shared" ref="H28:H29" si="1">D28*E28/100</f>
        <v>1125</v>
      </c>
      <c r="I28" s="17">
        <f t="shared" ref="I28:I29" si="2">H28*F28</f>
        <v>24750</v>
      </c>
    </row>
    <row r="29">
      <c r="C29" s="3"/>
      <c r="D29" s="13">
        <f>D8</f>
        <v>200000</v>
      </c>
      <c r="E29" s="1">
        <v>0.75</v>
      </c>
      <c r="F29" s="1">
        <v>19.0</v>
      </c>
      <c r="H29" s="17">
        <f t="shared" si="1"/>
        <v>1500</v>
      </c>
      <c r="I29" s="17">
        <f t="shared" si="2"/>
        <v>28500</v>
      </c>
    </row>
    <row r="30">
      <c r="C30" s="3"/>
      <c r="H30" s="15"/>
      <c r="I30" s="20"/>
    </row>
    <row r="31">
      <c r="C31" s="3"/>
    </row>
    <row r="32">
      <c r="C32" s="3"/>
      <c r="H32" s="15"/>
      <c r="I32" s="20"/>
    </row>
    <row r="33">
      <c r="A33" s="15"/>
      <c r="B33" s="15"/>
      <c r="C33" s="12"/>
      <c r="H33" s="1" t="s">
        <v>191</v>
      </c>
      <c r="I33" s="13">
        <f>SUM(I28:I29)+D28+D29</f>
        <v>403250</v>
      </c>
    </row>
    <row r="34">
      <c r="C34" s="3"/>
      <c r="H34" s="15" t="s">
        <v>192</v>
      </c>
      <c r="I34" s="12">
        <f>SUM(F14:F18)</f>
        <v>190500</v>
      </c>
    </row>
    <row r="35">
      <c r="A35" s="15"/>
      <c r="B35" s="15"/>
      <c r="C35" s="12"/>
    </row>
    <row r="36">
      <c r="C36" s="3"/>
      <c r="H36" s="15" t="s">
        <v>195</v>
      </c>
      <c r="I36" s="12">
        <f>I33-I34</f>
        <v>212750</v>
      </c>
    </row>
    <row r="37">
      <c r="A37" s="15"/>
      <c r="B37" s="15"/>
      <c r="C37" s="12"/>
      <c r="D37" s="12"/>
      <c r="E37" s="20"/>
      <c r="F37" s="41"/>
      <c r="G37" s="15"/>
    </row>
    <row r="38">
      <c r="A38" s="15"/>
      <c r="B38" s="15"/>
      <c r="C38" s="41"/>
      <c r="D38" s="41"/>
      <c r="E38" s="15"/>
      <c r="F38" s="41"/>
      <c r="G38" s="15"/>
      <c r="H38" s="15" t="s">
        <v>206</v>
      </c>
      <c r="I38" s="41">
        <f>D19+D21</f>
        <v>245630</v>
      </c>
    </row>
    <row r="39">
      <c r="A39" s="15"/>
      <c r="B39" s="15"/>
      <c r="C39" s="12"/>
      <c r="D39" s="12"/>
      <c r="E39" s="20"/>
      <c r="F39" s="41"/>
      <c r="G39" s="15"/>
      <c r="H39" s="20"/>
      <c r="I39" s="20"/>
    </row>
    <row r="40">
      <c r="A40" s="15"/>
      <c r="B40" s="15"/>
      <c r="C40" s="12"/>
      <c r="D40" s="12"/>
      <c r="E40" s="20"/>
      <c r="F40" s="41"/>
      <c r="G40" s="15"/>
      <c r="H40" s="20"/>
    </row>
    <row r="41">
      <c r="A41" s="15"/>
      <c r="B41" s="15"/>
      <c r="C41" s="12"/>
      <c r="D41" s="12"/>
      <c r="E41" s="20"/>
      <c r="F41" s="41"/>
      <c r="G41" s="15"/>
      <c r="H41" s="20"/>
    </row>
    <row r="42">
      <c r="C42" s="13"/>
      <c r="D42" s="13"/>
      <c r="F42" s="13"/>
    </row>
    <row r="43">
      <c r="C43" s="13"/>
      <c r="D43" s="13"/>
      <c r="F43" s="13"/>
    </row>
    <row r="44">
      <c r="C44" s="13"/>
      <c r="D44" s="13"/>
      <c r="F44" s="13"/>
    </row>
    <row r="45">
      <c r="C45" s="13"/>
      <c r="D45" s="13"/>
      <c r="F45" s="13"/>
    </row>
    <row r="46">
      <c r="C46" s="13"/>
      <c r="D46" s="13"/>
      <c r="F46" s="13"/>
    </row>
    <row r="47">
      <c r="C47" s="13"/>
      <c r="D47" s="13"/>
      <c r="F47" s="13"/>
    </row>
    <row r="48">
      <c r="C48" s="13"/>
      <c r="D48" s="13"/>
      <c r="F48" s="13"/>
    </row>
    <row r="49">
      <c r="C49" s="13"/>
      <c r="D49" s="13"/>
      <c r="F49" s="13"/>
    </row>
    <row r="50">
      <c r="C50" s="13"/>
      <c r="D50" s="13"/>
      <c r="F50" s="13"/>
    </row>
    <row r="51">
      <c r="C51" s="13"/>
      <c r="D51" s="13"/>
      <c r="F51" s="13"/>
    </row>
    <row r="52">
      <c r="C52" s="13"/>
      <c r="D52" s="13"/>
      <c r="F52" s="13"/>
    </row>
    <row r="53">
      <c r="C53" s="13"/>
      <c r="D53" s="13"/>
      <c r="F53" s="13"/>
    </row>
    <row r="54">
      <c r="C54" s="13"/>
      <c r="D54" s="13"/>
      <c r="F54" s="13"/>
    </row>
    <row r="55">
      <c r="C55" s="13"/>
      <c r="D55" s="13"/>
      <c r="F55" s="13"/>
    </row>
    <row r="56">
      <c r="C56" s="13"/>
      <c r="D56" s="13"/>
      <c r="F56" s="13"/>
    </row>
    <row r="57">
      <c r="C57" s="13"/>
      <c r="D57" s="13"/>
      <c r="F57" s="13"/>
    </row>
  </sheetData>
  <mergeCells count="1">
    <mergeCell ref="D24:K25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63"/>
    <col customWidth="1" min="3" max="3" width="14.0"/>
    <col customWidth="1" min="4" max="4" width="16.88"/>
    <col customWidth="1" min="5" max="5" width="13.38"/>
    <col customWidth="1" min="6" max="6" width="14.88"/>
    <col customWidth="1" min="8" max="8" width="12.5"/>
    <col customWidth="1" min="10" max="10" width="4.38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  <c r="J1" s="1" t="s">
        <v>207</v>
      </c>
    </row>
    <row r="2">
      <c r="A2" s="1" t="s">
        <v>8</v>
      </c>
      <c r="B2" s="1" t="s">
        <v>208</v>
      </c>
      <c r="C2" s="3" t="s">
        <v>209</v>
      </c>
      <c r="D2" s="3">
        <v>50000.0</v>
      </c>
      <c r="F2" s="3"/>
      <c r="J2" s="7">
        <v>0.15</v>
      </c>
    </row>
    <row r="3">
      <c r="A3" s="1" t="s">
        <v>193</v>
      </c>
      <c r="C3" s="3"/>
      <c r="D3" s="3"/>
      <c r="E3" s="1" t="s">
        <v>210</v>
      </c>
      <c r="F3" s="3">
        <v>3750.0</v>
      </c>
    </row>
    <row r="4">
      <c r="A4" s="1" t="s">
        <v>193</v>
      </c>
      <c r="C4" s="3"/>
      <c r="D4" s="3"/>
      <c r="E4" s="1" t="s">
        <v>43</v>
      </c>
      <c r="F4" s="3">
        <v>7500.0</v>
      </c>
    </row>
    <row r="5">
      <c r="A5" s="1" t="s">
        <v>193</v>
      </c>
      <c r="C5" s="3"/>
      <c r="D5" s="3"/>
      <c r="E5" s="1" t="s">
        <v>211</v>
      </c>
      <c r="F5" s="3">
        <v>7500.0</v>
      </c>
    </row>
    <row r="6">
      <c r="A6" s="1" t="s">
        <v>193</v>
      </c>
      <c r="C6" s="3"/>
      <c r="D6" s="3"/>
      <c r="E6" s="1" t="s">
        <v>212</v>
      </c>
      <c r="F6" s="3">
        <v>7500.0</v>
      </c>
    </row>
    <row r="7">
      <c r="A7" s="1" t="s">
        <v>193</v>
      </c>
      <c r="C7" s="3"/>
      <c r="D7" s="3"/>
      <c r="E7" s="1" t="s">
        <v>213</v>
      </c>
      <c r="F7" s="3">
        <v>7500.0</v>
      </c>
    </row>
    <row r="8">
      <c r="A8" s="1" t="s">
        <v>193</v>
      </c>
      <c r="C8" s="3"/>
      <c r="D8" s="3"/>
      <c r="E8" s="1" t="s">
        <v>214</v>
      </c>
      <c r="F8" s="3">
        <v>7500.0</v>
      </c>
    </row>
    <row r="9">
      <c r="A9" s="1" t="s">
        <v>193</v>
      </c>
      <c r="C9" s="3"/>
      <c r="D9" s="3"/>
      <c r="E9" s="1" t="s">
        <v>215</v>
      </c>
      <c r="F9" s="3">
        <v>7500.0</v>
      </c>
    </row>
    <row r="10">
      <c r="A10" s="1" t="s">
        <v>193</v>
      </c>
      <c r="C10" s="3"/>
      <c r="D10" s="3"/>
      <c r="E10" s="1" t="s">
        <v>216</v>
      </c>
      <c r="F10" s="3">
        <v>7500.0</v>
      </c>
    </row>
    <row r="18">
      <c r="H18" s="1" t="s">
        <v>26</v>
      </c>
    </row>
    <row r="19">
      <c r="D19" s="13">
        <f>SUM(D2:D16)</f>
        <v>50000</v>
      </c>
      <c r="F19" s="13">
        <f>SUM(F2:F16)</f>
        <v>56250</v>
      </c>
      <c r="H19" s="18">
        <f>F19/D19</f>
        <v>1.125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8" max="8" width="18.25"/>
    <col customWidth="1" min="9" max="9" width="35.5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  <c r="J1" s="1" t="s">
        <v>7</v>
      </c>
    </row>
    <row r="2">
      <c r="A2" s="1" t="s">
        <v>8</v>
      </c>
      <c r="B2" s="1" t="s">
        <v>217</v>
      </c>
      <c r="C2" s="3" t="s">
        <v>218</v>
      </c>
      <c r="D2" s="3">
        <v>50000.0</v>
      </c>
      <c r="F2" s="3"/>
      <c r="J2" s="7">
        <v>0.15</v>
      </c>
    </row>
    <row r="3">
      <c r="A3" s="1" t="s">
        <v>14</v>
      </c>
      <c r="E3" s="1" t="s">
        <v>219</v>
      </c>
      <c r="F3" s="1">
        <v>7500.0</v>
      </c>
    </row>
    <row r="4">
      <c r="A4" s="1" t="s">
        <v>14</v>
      </c>
      <c r="E4" s="1" t="s">
        <v>220</v>
      </c>
      <c r="F4" s="1">
        <v>7500.0</v>
      </c>
    </row>
    <row r="5">
      <c r="A5" s="1" t="s">
        <v>14</v>
      </c>
      <c r="E5" s="1" t="s">
        <v>221</v>
      </c>
      <c r="F5" s="1">
        <v>7500.0</v>
      </c>
    </row>
    <row r="6">
      <c r="A6" s="1" t="s">
        <v>14</v>
      </c>
      <c r="E6" s="1" t="s">
        <v>21</v>
      </c>
      <c r="F6" s="1">
        <v>7500.0</v>
      </c>
    </row>
    <row r="7">
      <c r="A7" s="1" t="s">
        <v>14</v>
      </c>
      <c r="E7" s="1" t="s">
        <v>222</v>
      </c>
      <c r="F7" s="1">
        <v>7500.0</v>
      </c>
    </row>
    <row r="8">
      <c r="A8" s="1" t="s">
        <v>14</v>
      </c>
      <c r="E8" s="1" t="s">
        <v>223</v>
      </c>
      <c r="F8" s="1">
        <v>7500.0</v>
      </c>
    </row>
    <row r="9">
      <c r="A9" s="1" t="s">
        <v>14</v>
      </c>
      <c r="E9" s="1" t="s">
        <v>224</v>
      </c>
      <c r="F9" s="1">
        <v>7500.0</v>
      </c>
    </row>
    <row r="16">
      <c r="H16" s="1" t="s">
        <v>26</v>
      </c>
      <c r="K16" s="1" t="s">
        <v>225</v>
      </c>
    </row>
    <row r="17">
      <c r="D17" s="13">
        <f>SUM(D2)</f>
        <v>50000</v>
      </c>
      <c r="F17" s="17">
        <f>SUM(F3:F15)</f>
        <v>52500</v>
      </c>
      <c r="H17" s="18">
        <f>F17/D17</f>
        <v>1.05</v>
      </c>
      <c r="K17" s="17">
        <f>(D17-F17)*3/100</f>
        <v>-75</v>
      </c>
    </row>
    <row r="18">
      <c r="D18" s="1"/>
      <c r="E18" s="1"/>
      <c r="F18" s="1"/>
      <c r="H18" s="1"/>
      <c r="I18" s="1"/>
      <c r="K18" s="17">
        <f t="shared" ref="K18:K19" si="1">K17</f>
        <v>-75</v>
      </c>
    </row>
    <row r="19">
      <c r="D19" s="1"/>
      <c r="E19" s="1"/>
      <c r="F19" s="1"/>
      <c r="H19" s="1"/>
      <c r="I19" s="1"/>
      <c r="K19" s="17">
        <f t="shared" si="1"/>
        <v>-75</v>
      </c>
    </row>
    <row r="20">
      <c r="D20" s="22" t="s">
        <v>41</v>
      </c>
      <c r="E20" s="23"/>
      <c r="F20" s="23"/>
      <c r="G20" s="23"/>
      <c r="H20" s="23"/>
      <c r="I20" s="23"/>
      <c r="J20" s="23"/>
      <c r="K20" s="23"/>
      <c r="L20" s="24"/>
    </row>
    <row r="21">
      <c r="D21" s="25"/>
      <c r="L21" s="26"/>
    </row>
    <row r="22">
      <c r="D22" s="27"/>
      <c r="E22" s="28"/>
      <c r="F22" s="28"/>
      <c r="G22" s="28"/>
      <c r="H22" s="28"/>
      <c r="I22" s="28"/>
      <c r="J22" s="28"/>
      <c r="K22" s="28"/>
      <c r="L22" s="29"/>
    </row>
    <row r="23">
      <c r="D23" s="1"/>
      <c r="E23" s="1"/>
      <c r="F23" s="1"/>
      <c r="H23" s="1"/>
      <c r="I23" s="1"/>
    </row>
    <row r="24">
      <c r="D24" s="31" t="s">
        <v>47</v>
      </c>
      <c r="E24" s="31" t="s">
        <v>48</v>
      </c>
      <c r="F24" s="31" t="s">
        <v>50</v>
      </c>
      <c r="G24" s="35"/>
      <c r="H24" s="31" t="s">
        <v>53</v>
      </c>
      <c r="I24" s="31" t="s">
        <v>55</v>
      </c>
    </row>
    <row r="25">
      <c r="D25" s="1">
        <v>50000.0</v>
      </c>
      <c r="E25" s="1">
        <v>3.0</v>
      </c>
      <c r="F25" s="17">
        <f>SUBTOTAL(2,F3:F10)</f>
        <v>7</v>
      </c>
      <c r="H25" s="17">
        <f>D25*E25/100</f>
        <v>1500</v>
      </c>
      <c r="I25" s="17">
        <f>H25*F25</f>
        <v>10500</v>
      </c>
    </row>
    <row r="26">
      <c r="H26" s="1" t="s">
        <v>191</v>
      </c>
      <c r="I26" s="17">
        <f>I25+D25</f>
        <v>60500</v>
      </c>
    </row>
    <row r="27">
      <c r="H27" s="1" t="s">
        <v>192</v>
      </c>
      <c r="I27" s="17">
        <f>F17</f>
        <v>52500</v>
      </c>
    </row>
    <row r="29">
      <c r="H29" s="15" t="s">
        <v>195</v>
      </c>
      <c r="I29" s="20">
        <f>I26-I27</f>
        <v>8000</v>
      </c>
      <c r="J29" s="20"/>
      <c r="K29" s="15" t="s">
        <v>226</v>
      </c>
    </row>
  </sheetData>
  <mergeCells count="1">
    <mergeCell ref="D20:L2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6.13"/>
    <col customWidth="1" min="3" max="3" width="14.0"/>
    <col customWidth="1" min="4" max="4" width="19.0"/>
    <col customWidth="1" min="5" max="5" width="13.38"/>
    <col customWidth="1" min="6" max="6" width="14.88"/>
    <col customWidth="1" min="8" max="8" width="19.38"/>
    <col customWidth="1" min="9" max="9" width="23.13"/>
    <col customWidth="1" min="10" max="10" width="4.38"/>
    <col customWidth="1" min="11" max="11" width="29.63"/>
  </cols>
  <sheetData>
    <row r="1">
      <c r="A1" s="15" t="s">
        <v>0</v>
      </c>
      <c r="B1" s="15" t="s">
        <v>2</v>
      </c>
      <c r="C1" s="41" t="s">
        <v>3</v>
      </c>
      <c r="D1" s="41" t="s">
        <v>4</v>
      </c>
      <c r="E1" s="15" t="s">
        <v>5</v>
      </c>
      <c r="F1" s="41" t="s">
        <v>6</v>
      </c>
      <c r="J1" s="1" t="s">
        <v>7</v>
      </c>
    </row>
    <row r="2">
      <c r="A2" s="1" t="s">
        <v>8</v>
      </c>
      <c r="B2" s="1" t="s">
        <v>227</v>
      </c>
      <c r="C2" s="3" t="s">
        <v>228</v>
      </c>
      <c r="D2" s="3">
        <v>50000.0</v>
      </c>
      <c r="F2" s="3"/>
      <c r="J2" s="7">
        <v>0.15</v>
      </c>
    </row>
    <row r="3">
      <c r="A3" s="1" t="s">
        <v>14</v>
      </c>
      <c r="E3" s="1" t="s">
        <v>34</v>
      </c>
      <c r="F3" s="1">
        <v>3750.0</v>
      </c>
    </row>
    <row r="4">
      <c r="A4" s="1" t="s">
        <v>14</v>
      </c>
      <c r="E4" s="1" t="s">
        <v>229</v>
      </c>
      <c r="F4" s="1">
        <v>7500.0</v>
      </c>
    </row>
    <row r="5">
      <c r="A5" s="1" t="s">
        <v>14</v>
      </c>
      <c r="E5" s="1" t="s">
        <v>211</v>
      </c>
      <c r="F5" s="3">
        <v>7500.0</v>
      </c>
    </row>
    <row r="6">
      <c r="A6" s="1" t="s">
        <v>14</v>
      </c>
      <c r="E6" s="1" t="s">
        <v>212</v>
      </c>
      <c r="F6" s="3">
        <v>7500.0</v>
      </c>
    </row>
    <row r="7">
      <c r="A7" s="1" t="s">
        <v>14</v>
      </c>
      <c r="E7" s="1" t="s">
        <v>213</v>
      </c>
      <c r="F7" s="3">
        <v>7500.0</v>
      </c>
    </row>
    <row r="8">
      <c r="A8" s="1" t="s">
        <v>14</v>
      </c>
      <c r="E8" s="1" t="s">
        <v>214</v>
      </c>
      <c r="F8" s="3">
        <v>7500.0</v>
      </c>
    </row>
    <row r="9">
      <c r="A9" s="1" t="s">
        <v>14</v>
      </c>
      <c r="E9" s="1" t="s">
        <v>215</v>
      </c>
      <c r="F9" s="3">
        <v>7500.0</v>
      </c>
    </row>
    <row r="10">
      <c r="E10" s="1" t="s">
        <v>216</v>
      </c>
      <c r="F10" s="3">
        <v>7500.0</v>
      </c>
    </row>
    <row r="11">
      <c r="E11" s="1" t="s">
        <v>201</v>
      </c>
    </row>
    <row r="12">
      <c r="E12" s="1" t="s">
        <v>230</v>
      </c>
    </row>
    <row r="13">
      <c r="E13" s="1" t="s">
        <v>231</v>
      </c>
    </row>
    <row r="14">
      <c r="E14" s="1" t="s">
        <v>232</v>
      </c>
    </row>
    <row r="16">
      <c r="H16" s="1" t="s">
        <v>26</v>
      </c>
      <c r="K16" s="1" t="s">
        <v>225</v>
      </c>
    </row>
    <row r="17">
      <c r="D17" s="13">
        <f>SUM(D2)</f>
        <v>50000</v>
      </c>
      <c r="F17" s="17">
        <f>SUM(F3:F15)</f>
        <v>56250</v>
      </c>
      <c r="H17" s="18">
        <f>F17/D17</f>
        <v>1.125</v>
      </c>
      <c r="K17" s="17">
        <f>(D17-F17)*3/100</f>
        <v>-187.5</v>
      </c>
    </row>
    <row r="18">
      <c r="D18" s="1"/>
      <c r="E18" s="1"/>
      <c r="F18" s="1"/>
      <c r="H18" s="1"/>
      <c r="I18" s="1"/>
      <c r="K18" s="17">
        <f t="shared" ref="K18:K19" si="1">K17</f>
        <v>-187.5</v>
      </c>
    </row>
    <row r="19">
      <c r="D19" s="1"/>
      <c r="E19" s="1"/>
      <c r="F19" s="1"/>
      <c r="H19" s="1"/>
      <c r="I19" s="1"/>
      <c r="K19" s="17">
        <f t="shared" si="1"/>
        <v>-187.5</v>
      </c>
    </row>
    <row r="20">
      <c r="D20" s="22" t="s">
        <v>41</v>
      </c>
      <c r="E20" s="23"/>
      <c r="F20" s="23"/>
      <c r="G20" s="23"/>
      <c r="H20" s="23"/>
      <c r="I20" s="23"/>
      <c r="J20" s="23"/>
      <c r="K20" s="23"/>
      <c r="L20" s="24"/>
    </row>
    <row r="21">
      <c r="D21" s="25"/>
      <c r="L21" s="26"/>
    </row>
    <row r="22">
      <c r="D22" s="27"/>
      <c r="E22" s="28"/>
      <c r="F22" s="28"/>
      <c r="G22" s="28"/>
      <c r="H22" s="28"/>
      <c r="I22" s="28"/>
      <c r="J22" s="28"/>
      <c r="K22" s="28"/>
      <c r="L22" s="29"/>
    </row>
    <row r="23">
      <c r="D23" s="1"/>
      <c r="E23" s="1"/>
      <c r="F23" s="1"/>
      <c r="H23" s="1"/>
      <c r="I23" s="1"/>
    </row>
    <row r="24">
      <c r="D24" s="10" t="s">
        <v>47</v>
      </c>
      <c r="E24" s="10" t="s">
        <v>48</v>
      </c>
      <c r="F24" s="10" t="s">
        <v>50</v>
      </c>
      <c r="G24" s="66"/>
      <c r="H24" s="10" t="s">
        <v>53</v>
      </c>
      <c r="I24" s="10" t="s">
        <v>55</v>
      </c>
      <c r="J24" s="20"/>
      <c r="K24" s="20"/>
      <c r="L24" s="20"/>
    </row>
    <row r="25">
      <c r="D25" s="1">
        <v>50000.0</v>
      </c>
      <c r="E25" s="1">
        <v>3.0</v>
      </c>
      <c r="F25" s="17">
        <f>SUBTOTAL(2,F3:F10)</f>
        <v>8</v>
      </c>
      <c r="H25" s="17">
        <f>D25*E25/100</f>
        <v>1500</v>
      </c>
      <c r="I25" s="17">
        <f>H25*F25</f>
        <v>12000</v>
      </c>
    </row>
    <row r="26">
      <c r="H26" s="15" t="s">
        <v>191</v>
      </c>
      <c r="I26" s="17">
        <f>I25+D25</f>
        <v>62000</v>
      </c>
    </row>
    <row r="27">
      <c r="H27" s="15" t="s">
        <v>192</v>
      </c>
      <c r="I27" s="17">
        <f>F17</f>
        <v>56250</v>
      </c>
    </row>
    <row r="29">
      <c r="H29" s="15" t="s">
        <v>195</v>
      </c>
      <c r="I29" s="20">
        <f>I26-I27</f>
        <v>5750</v>
      </c>
      <c r="J29" s="20"/>
      <c r="K29" s="15" t="s">
        <v>236</v>
      </c>
    </row>
  </sheetData>
  <mergeCells count="1">
    <mergeCell ref="D20:L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63"/>
    <col customWidth="1" min="3" max="3" width="15.63"/>
    <col customWidth="1" min="4" max="4" width="16.88"/>
    <col customWidth="1" min="5" max="5" width="15.25"/>
    <col customWidth="1" min="6" max="6" width="14.88"/>
    <col customWidth="1" min="8" max="8" width="18.25"/>
    <col customWidth="1" min="9" max="9" width="15.88"/>
    <col customWidth="1" min="10" max="10" width="16.88"/>
    <col customWidth="1" min="11" max="11" width="16.75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  <c r="I1" s="13"/>
      <c r="J1" s="15" t="s">
        <v>7</v>
      </c>
    </row>
    <row r="2">
      <c r="A2" s="1" t="s">
        <v>8</v>
      </c>
      <c r="B2" s="1" t="s">
        <v>233</v>
      </c>
      <c r="C2" s="1" t="s">
        <v>234</v>
      </c>
      <c r="D2" s="3">
        <v>100000.0</v>
      </c>
      <c r="F2" s="3"/>
      <c r="I2" s="13"/>
      <c r="J2" s="58">
        <v>0.25</v>
      </c>
    </row>
    <row r="3">
      <c r="A3" s="1" t="s">
        <v>8</v>
      </c>
      <c r="B3" s="1" t="s">
        <v>235</v>
      </c>
      <c r="C3" s="1" t="s">
        <v>234</v>
      </c>
      <c r="D3" s="3">
        <v>300000.0</v>
      </c>
      <c r="I3" s="13"/>
      <c r="J3" s="58">
        <v>0.25</v>
      </c>
    </row>
    <row r="4">
      <c r="A4" s="1" t="s">
        <v>14</v>
      </c>
      <c r="B4" s="1" t="s">
        <v>235</v>
      </c>
      <c r="C4" s="1" t="s">
        <v>234</v>
      </c>
      <c r="D4" s="3">
        <v>100000.0</v>
      </c>
      <c r="I4" s="13"/>
      <c r="J4" s="58">
        <v>0.25</v>
      </c>
    </row>
    <row r="5">
      <c r="A5" s="1" t="s">
        <v>14</v>
      </c>
      <c r="D5" s="13"/>
      <c r="E5" s="1" t="s">
        <v>237</v>
      </c>
      <c r="F5" s="1">
        <v>99000.0</v>
      </c>
      <c r="I5" s="13"/>
    </row>
    <row r="6">
      <c r="A6" s="1" t="s">
        <v>14</v>
      </c>
      <c r="D6" s="13"/>
      <c r="E6" s="1" t="s">
        <v>238</v>
      </c>
      <c r="F6" s="1">
        <v>26000.0</v>
      </c>
      <c r="I6" s="13"/>
    </row>
    <row r="7">
      <c r="A7" s="1" t="s">
        <v>14</v>
      </c>
      <c r="D7" s="13"/>
      <c r="E7" s="1" t="s">
        <v>239</v>
      </c>
      <c r="F7" s="1">
        <v>25000.0</v>
      </c>
      <c r="I7" s="13"/>
    </row>
    <row r="8">
      <c r="A8" s="1" t="s">
        <v>14</v>
      </c>
      <c r="D8" s="13"/>
      <c r="E8" s="1" t="s">
        <v>240</v>
      </c>
      <c r="F8" s="1">
        <v>25000.0</v>
      </c>
      <c r="I8" s="13"/>
    </row>
    <row r="9">
      <c r="A9" s="1" t="s">
        <v>14</v>
      </c>
      <c r="D9" s="13"/>
      <c r="E9" s="1" t="s">
        <v>241</v>
      </c>
      <c r="F9" s="1">
        <v>25000.0</v>
      </c>
      <c r="I9" s="13"/>
    </row>
    <row r="10">
      <c r="A10" s="1" t="s">
        <v>14</v>
      </c>
      <c r="D10" s="13"/>
      <c r="E10" s="1" t="s">
        <v>242</v>
      </c>
      <c r="F10" s="1">
        <v>25000.0</v>
      </c>
      <c r="I10" s="13"/>
    </row>
    <row r="11">
      <c r="A11" s="1" t="s">
        <v>14</v>
      </c>
      <c r="D11" s="13"/>
      <c r="E11" s="1" t="s">
        <v>243</v>
      </c>
      <c r="F11" s="1">
        <v>25000.0</v>
      </c>
      <c r="I11" s="13"/>
    </row>
    <row r="12">
      <c r="D12" s="13"/>
      <c r="E12" s="1" t="s">
        <v>244</v>
      </c>
      <c r="F12" s="1" t="s">
        <v>245</v>
      </c>
      <c r="I12" s="13"/>
    </row>
    <row r="13">
      <c r="D13" s="13"/>
      <c r="E13" s="1" t="s">
        <v>246</v>
      </c>
      <c r="F13" s="1" t="s">
        <v>247</v>
      </c>
      <c r="I13" s="13"/>
    </row>
    <row r="14">
      <c r="D14" s="13"/>
      <c r="E14" s="1" t="s">
        <v>248</v>
      </c>
      <c r="F14" s="1" t="s">
        <v>247</v>
      </c>
      <c r="I14" s="13"/>
    </row>
    <row r="15">
      <c r="D15" s="13"/>
      <c r="I15" s="13"/>
    </row>
    <row r="16">
      <c r="D16" s="13"/>
      <c r="I16" s="13"/>
    </row>
    <row r="17">
      <c r="D17" s="13"/>
      <c r="I17" s="13"/>
    </row>
    <row r="18">
      <c r="D18" s="13"/>
      <c r="H18" s="15" t="s">
        <v>26</v>
      </c>
      <c r="J18" s="16" t="s">
        <v>177</v>
      </c>
    </row>
    <row r="19">
      <c r="A19" s="20"/>
      <c r="B19" s="20"/>
      <c r="C19" s="20"/>
      <c r="D19" s="12">
        <f>SUM(D2:D4)</f>
        <v>500000</v>
      </c>
      <c r="E19" s="20"/>
      <c r="F19" s="12">
        <f>SUM(F2:F11)</f>
        <v>250000</v>
      </c>
      <c r="G19" s="20"/>
      <c r="H19" s="18">
        <f>F19/D19</f>
        <v>0.5</v>
      </c>
      <c r="J19" s="59">
        <f>(D19-F19)*3/100</f>
        <v>7500</v>
      </c>
      <c r="K19" s="1" t="s">
        <v>249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D20" s="13"/>
      <c r="J20" s="59">
        <f t="shared" ref="J20:J21" si="1">J19</f>
        <v>7500</v>
      </c>
      <c r="K20" s="1" t="s">
        <v>252</v>
      </c>
    </row>
    <row r="21">
      <c r="D21" s="3"/>
      <c r="E21" s="1"/>
      <c r="F21" s="1"/>
      <c r="J21" s="59">
        <f t="shared" si="1"/>
        <v>7500</v>
      </c>
      <c r="K21" s="1" t="s">
        <v>254</v>
      </c>
    </row>
    <row r="22">
      <c r="D22" s="3"/>
      <c r="E22" s="1"/>
      <c r="F22" s="1"/>
      <c r="H22" s="1"/>
      <c r="I22" s="3"/>
    </row>
    <row r="23">
      <c r="D23" s="3"/>
      <c r="E23" s="1"/>
      <c r="F23" s="1"/>
      <c r="H23" s="1"/>
      <c r="I23" s="3"/>
    </row>
    <row r="24">
      <c r="D24" s="22" t="s">
        <v>41</v>
      </c>
      <c r="E24" s="23"/>
      <c r="F24" s="23"/>
      <c r="G24" s="23"/>
      <c r="H24" s="23"/>
      <c r="I24" s="23"/>
      <c r="J24" s="23"/>
      <c r="K24" s="24"/>
    </row>
    <row r="25">
      <c r="D25" s="27"/>
      <c r="E25" s="28"/>
      <c r="F25" s="28"/>
      <c r="G25" s="28"/>
      <c r="H25" s="28"/>
      <c r="I25" s="28"/>
      <c r="J25" s="28"/>
      <c r="K25" s="29"/>
    </row>
    <row r="26">
      <c r="D26" s="3"/>
      <c r="E26" s="1"/>
      <c r="F26" s="1"/>
      <c r="H26" s="1"/>
      <c r="I26" s="3"/>
    </row>
    <row r="27">
      <c r="D27" s="3"/>
      <c r="E27" s="1"/>
      <c r="F27" s="1"/>
      <c r="H27" s="1"/>
      <c r="I27" s="3"/>
    </row>
    <row r="28">
      <c r="A28" s="21"/>
      <c r="B28" s="21"/>
      <c r="C28" s="21"/>
      <c r="D28" s="62" t="s">
        <v>180</v>
      </c>
      <c r="E28" s="63" t="s">
        <v>48</v>
      </c>
      <c r="F28" s="63" t="s">
        <v>50</v>
      </c>
      <c r="G28" s="64"/>
      <c r="H28" s="63" t="s">
        <v>53</v>
      </c>
      <c r="I28" s="62" t="s">
        <v>55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D29" s="3">
        <f>D19</f>
        <v>500000</v>
      </c>
      <c r="E29" s="1">
        <v>3.0</v>
      </c>
      <c r="F29" s="1">
        <v>5.0</v>
      </c>
      <c r="H29" s="17">
        <f>D29*E29/100</f>
        <v>15000</v>
      </c>
      <c r="I29" s="13">
        <f>H29*F29</f>
        <v>75000</v>
      </c>
    </row>
    <row r="30">
      <c r="D30" s="13"/>
      <c r="H30" s="1"/>
      <c r="I30" s="13"/>
    </row>
    <row r="31">
      <c r="D31" s="13"/>
      <c r="I31" s="13"/>
    </row>
    <row r="32">
      <c r="D32" s="13"/>
    </row>
    <row r="33">
      <c r="D33" s="13"/>
    </row>
    <row r="34">
      <c r="D34" s="13"/>
      <c r="I34" s="12">
        <f>D29+I29</f>
        <v>575000</v>
      </c>
    </row>
    <row r="35">
      <c r="D35" s="13"/>
    </row>
    <row r="36">
      <c r="D36" s="13"/>
      <c r="H36" s="39" t="s">
        <v>62</v>
      </c>
      <c r="I36" s="12">
        <f>F19</f>
        <v>250000</v>
      </c>
    </row>
    <row r="37">
      <c r="D37" s="13"/>
    </row>
    <row r="38">
      <c r="D38" s="10"/>
      <c r="E38" s="10"/>
      <c r="F38" s="10"/>
      <c r="G38" s="10"/>
      <c r="H38" s="39" t="s">
        <v>72</v>
      </c>
      <c r="I38" s="46">
        <f>I34-I36</f>
        <v>325000</v>
      </c>
      <c r="K38" s="47" t="s">
        <v>69</v>
      </c>
    </row>
    <row r="39">
      <c r="D39" s="10"/>
      <c r="E39" s="10"/>
      <c r="F39" s="10"/>
      <c r="G39" s="10"/>
      <c r="K39" s="12">
        <f>I38/3</f>
        <v>108333.3333</v>
      </c>
      <c r="L39" s="15" t="s">
        <v>79</v>
      </c>
    </row>
    <row r="40">
      <c r="D40" s="13"/>
      <c r="K40" s="12">
        <f t="shared" ref="K40:K41" si="2">K39</f>
        <v>108333.3333</v>
      </c>
      <c r="L40" s="15" t="s">
        <v>82</v>
      </c>
    </row>
    <row r="41">
      <c r="D41" s="13"/>
      <c r="K41" s="12">
        <f t="shared" si="2"/>
        <v>108333.3333</v>
      </c>
      <c r="L41" s="15" t="s">
        <v>84</v>
      </c>
    </row>
    <row r="42">
      <c r="D42" s="13"/>
    </row>
    <row r="43">
      <c r="D43" s="13"/>
      <c r="I43" s="13"/>
    </row>
    <row r="44">
      <c r="D44" s="13"/>
      <c r="I44" s="13"/>
    </row>
    <row r="45">
      <c r="D45" s="13"/>
      <c r="I45" s="13"/>
    </row>
    <row r="46">
      <c r="D46" s="13"/>
      <c r="I46" s="13"/>
    </row>
    <row r="47">
      <c r="D47" s="13"/>
      <c r="I47" s="13"/>
    </row>
    <row r="48">
      <c r="D48" s="13"/>
      <c r="I48" s="13"/>
    </row>
    <row r="49">
      <c r="D49" s="13"/>
      <c r="I49" s="13"/>
    </row>
    <row r="50">
      <c r="D50" s="13"/>
      <c r="I50" s="13"/>
    </row>
    <row r="51">
      <c r="D51" s="13"/>
      <c r="I51" s="13"/>
    </row>
    <row r="52">
      <c r="D52" s="13"/>
      <c r="I52" s="13"/>
    </row>
    <row r="53">
      <c r="D53" s="13"/>
      <c r="I53" s="13"/>
    </row>
    <row r="54">
      <c r="D54" s="13"/>
      <c r="I54" s="13"/>
    </row>
    <row r="55">
      <c r="D55" s="13"/>
      <c r="I55" s="13"/>
    </row>
    <row r="56">
      <c r="D56" s="13"/>
      <c r="I56" s="13"/>
    </row>
    <row r="57">
      <c r="D57" s="13"/>
      <c r="I57" s="13"/>
    </row>
    <row r="58">
      <c r="D58" s="13"/>
      <c r="I58" s="13"/>
    </row>
    <row r="59">
      <c r="D59" s="13"/>
      <c r="I59" s="13"/>
    </row>
    <row r="60">
      <c r="D60" s="13"/>
      <c r="I60" s="13"/>
    </row>
    <row r="61">
      <c r="D61" s="13"/>
      <c r="I61" s="13"/>
    </row>
    <row r="62">
      <c r="D62" s="13"/>
      <c r="I62" s="13"/>
    </row>
    <row r="63">
      <c r="D63" s="13"/>
      <c r="I63" s="13"/>
    </row>
    <row r="64">
      <c r="D64" s="13"/>
      <c r="I64" s="13"/>
    </row>
    <row r="65">
      <c r="D65" s="13"/>
      <c r="I65" s="13"/>
    </row>
    <row r="66">
      <c r="D66" s="13"/>
      <c r="I66" s="13"/>
    </row>
    <row r="67">
      <c r="D67" s="13"/>
      <c r="I67" s="13"/>
    </row>
    <row r="68">
      <c r="D68" s="13"/>
      <c r="I68" s="13"/>
    </row>
    <row r="69">
      <c r="D69" s="13"/>
      <c r="I69" s="13"/>
    </row>
    <row r="70">
      <c r="D70" s="13"/>
      <c r="I70" s="13"/>
    </row>
    <row r="71">
      <c r="D71" s="13"/>
      <c r="I71" s="13"/>
    </row>
    <row r="72">
      <c r="D72" s="13"/>
      <c r="I72" s="13"/>
    </row>
    <row r="73">
      <c r="D73" s="13"/>
      <c r="I73" s="13"/>
    </row>
    <row r="74">
      <c r="D74" s="13"/>
      <c r="I74" s="13"/>
    </row>
    <row r="75">
      <c r="D75" s="13"/>
      <c r="I75" s="13"/>
    </row>
    <row r="76">
      <c r="D76" s="13"/>
      <c r="I76" s="13"/>
    </row>
    <row r="77">
      <c r="D77" s="13"/>
      <c r="I77" s="13"/>
    </row>
    <row r="78">
      <c r="D78" s="13"/>
      <c r="I78" s="13"/>
    </row>
    <row r="79">
      <c r="D79" s="13"/>
      <c r="I79" s="13"/>
    </row>
    <row r="80">
      <c r="D80" s="13"/>
      <c r="I80" s="13"/>
    </row>
    <row r="81">
      <c r="D81" s="13"/>
      <c r="I81" s="13"/>
    </row>
    <row r="82">
      <c r="D82" s="13"/>
      <c r="I82" s="13"/>
    </row>
    <row r="83">
      <c r="D83" s="13"/>
      <c r="I83" s="13"/>
    </row>
    <row r="84">
      <c r="D84" s="13"/>
      <c r="I84" s="13"/>
    </row>
    <row r="85">
      <c r="D85" s="13"/>
      <c r="I85" s="13"/>
    </row>
    <row r="86">
      <c r="D86" s="13"/>
      <c r="I86" s="13"/>
    </row>
    <row r="87">
      <c r="D87" s="13"/>
      <c r="I87" s="13"/>
    </row>
    <row r="88">
      <c r="D88" s="13"/>
      <c r="I88" s="13"/>
    </row>
    <row r="89">
      <c r="D89" s="13"/>
      <c r="I89" s="13"/>
    </row>
    <row r="90">
      <c r="D90" s="13"/>
      <c r="I90" s="13"/>
    </row>
    <row r="91">
      <c r="D91" s="13"/>
      <c r="I91" s="13"/>
    </row>
    <row r="92">
      <c r="D92" s="13"/>
      <c r="I92" s="13"/>
    </row>
    <row r="93">
      <c r="D93" s="13"/>
      <c r="I93" s="13"/>
    </row>
    <row r="94">
      <c r="D94" s="13"/>
      <c r="I94" s="13"/>
    </row>
    <row r="95">
      <c r="D95" s="13"/>
      <c r="I95" s="13"/>
    </row>
    <row r="96">
      <c r="D96" s="13"/>
      <c r="I96" s="13"/>
    </row>
    <row r="97">
      <c r="D97" s="13"/>
      <c r="I97" s="13"/>
    </row>
    <row r="98">
      <c r="D98" s="13"/>
      <c r="I98" s="13"/>
    </row>
    <row r="99">
      <c r="D99" s="13"/>
      <c r="I99" s="13"/>
    </row>
    <row r="100">
      <c r="D100" s="13"/>
      <c r="I100" s="13"/>
    </row>
    <row r="101">
      <c r="D101" s="13"/>
      <c r="I101" s="13"/>
    </row>
    <row r="102">
      <c r="D102" s="13"/>
      <c r="I102" s="13"/>
    </row>
    <row r="103">
      <c r="D103" s="13"/>
      <c r="I103" s="13"/>
    </row>
    <row r="104">
      <c r="D104" s="13"/>
      <c r="I104" s="13"/>
    </row>
    <row r="105">
      <c r="D105" s="13"/>
      <c r="I105" s="13"/>
    </row>
    <row r="106">
      <c r="D106" s="13"/>
      <c r="I106" s="13"/>
    </row>
    <row r="107">
      <c r="D107" s="13"/>
      <c r="I107" s="13"/>
    </row>
    <row r="108">
      <c r="D108" s="13"/>
      <c r="I108" s="13"/>
    </row>
    <row r="109">
      <c r="D109" s="13"/>
      <c r="I109" s="13"/>
    </row>
    <row r="110">
      <c r="D110" s="13"/>
      <c r="I110" s="13"/>
    </row>
    <row r="111">
      <c r="D111" s="13"/>
      <c r="I111" s="13"/>
    </row>
    <row r="112">
      <c r="D112" s="13"/>
      <c r="I112" s="13"/>
    </row>
    <row r="113">
      <c r="D113" s="13"/>
      <c r="I113" s="13"/>
    </row>
    <row r="114">
      <c r="D114" s="13"/>
      <c r="I114" s="13"/>
    </row>
    <row r="115">
      <c r="D115" s="13"/>
      <c r="I115" s="13"/>
    </row>
    <row r="116">
      <c r="D116" s="13"/>
      <c r="I116" s="13"/>
    </row>
    <row r="117">
      <c r="D117" s="13"/>
      <c r="I117" s="13"/>
    </row>
    <row r="118">
      <c r="D118" s="13"/>
      <c r="I118" s="13"/>
    </row>
    <row r="119">
      <c r="D119" s="13"/>
      <c r="I119" s="13"/>
    </row>
    <row r="120">
      <c r="D120" s="13"/>
      <c r="I120" s="13"/>
    </row>
    <row r="121">
      <c r="D121" s="13"/>
      <c r="I121" s="13"/>
    </row>
    <row r="122">
      <c r="D122" s="13"/>
      <c r="I122" s="13"/>
    </row>
    <row r="123">
      <c r="D123" s="13"/>
      <c r="I123" s="13"/>
    </row>
    <row r="124">
      <c r="D124" s="13"/>
      <c r="I124" s="13"/>
    </row>
    <row r="125">
      <c r="D125" s="13"/>
      <c r="I125" s="13"/>
    </row>
    <row r="126">
      <c r="D126" s="13"/>
      <c r="I126" s="13"/>
    </row>
    <row r="127">
      <c r="D127" s="13"/>
      <c r="I127" s="13"/>
    </row>
    <row r="128">
      <c r="D128" s="13"/>
      <c r="I128" s="13"/>
    </row>
    <row r="129">
      <c r="D129" s="13"/>
      <c r="I129" s="13"/>
    </row>
    <row r="130">
      <c r="D130" s="13"/>
      <c r="I130" s="13"/>
    </row>
    <row r="131">
      <c r="D131" s="13"/>
      <c r="I131" s="13"/>
    </row>
    <row r="132">
      <c r="D132" s="13"/>
      <c r="I132" s="13"/>
    </row>
    <row r="133">
      <c r="D133" s="13"/>
      <c r="I133" s="13"/>
    </row>
    <row r="134">
      <c r="D134" s="13"/>
      <c r="I134" s="13"/>
    </row>
    <row r="135">
      <c r="D135" s="13"/>
      <c r="I135" s="13"/>
    </row>
    <row r="136">
      <c r="D136" s="13"/>
      <c r="I136" s="13"/>
    </row>
    <row r="137">
      <c r="D137" s="13"/>
      <c r="I137" s="13"/>
    </row>
    <row r="138">
      <c r="D138" s="13"/>
      <c r="I138" s="13"/>
    </row>
    <row r="139">
      <c r="D139" s="13"/>
      <c r="I139" s="13"/>
    </row>
    <row r="140">
      <c r="D140" s="13"/>
      <c r="I140" s="13"/>
    </row>
    <row r="141">
      <c r="D141" s="13"/>
      <c r="I141" s="13"/>
    </row>
    <row r="142">
      <c r="D142" s="13"/>
      <c r="I142" s="13"/>
    </row>
    <row r="143">
      <c r="D143" s="13"/>
      <c r="I143" s="13"/>
    </row>
    <row r="144">
      <c r="D144" s="13"/>
      <c r="I144" s="13"/>
    </row>
    <row r="145">
      <c r="D145" s="13"/>
      <c r="I145" s="13"/>
    </row>
    <row r="146">
      <c r="D146" s="13"/>
      <c r="I146" s="13"/>
    </row>
    <row r="147">
      <c r="D147" s="13"/>
      <c r="I147" s="13"/>
    </row>
    <row r="148">
      <c r="D148" s="13"/>
      <c r="I148" s="13"/>
    </row>
    <row r="149">
      <c r="D149" s="13"/>
      <c r="I149" s="13"/>
    </row>
    <row r="150">
      <c r="D150" s="13"/>
      <c r="I150" s="13"/>
    </row>
    <row r="151">
      <c r="D151" s="13"/>
      <c r="I151" s="13"/>
    </row>
    <row r="152">
      <c r="D152" s="13"/>
      <c r="I152" s="13"/>
    </row>
    <row r="153">
      <c r="D153" s="13"/>
      <c r="I153" s="13"/>
    </row>
    <row r="154">
      <c r="D154" s="13"/>
      <c r="I154" s="13"/>
    </row>
    <row r="155">
      <c r="D155" s="13"/>
      <c r="I155" s="13"/>
    </row>
    <row r="156">
      <c r="D156" s="13"/>
      <c r="I156" s="13"/>
    </row>
    <row r="157">
      <c r="D157" s="13"/>
      <c r="I157" s="13"/>
    </row>
    <row r="158">
      <c r="D158" s="13"/>
      <c r="I158" s="13"/>
    </row>
    <row r="159">
      <c r="D159" s="13"/>
      <c r="I159" s="13"/>
    </row>
    <row r="160">
      <c r="D160" s="13"/>
      <c r="I160" s="13"/>
    </row>
    <row r="161">
      <c r="D161" s="13"/>
      <c r="I161" s="13"/>
    </row>
    <row r="162">
      <c r="D162" s="13"/>
      <c r="I162" s="13"/>
    </row>
    <row r="163">
      <c r="D163" s="13"/>
      <c r="I163" s="13"/>
    </row>
    <row r="164">
      <c r="D164" s="13"/>
      <c r="I164" s="13"/>
    </row>
    <row r="165">
      <c r="D165" s="13"/>
      <c r="I165" s="13"/>
    </row>
    <row r="166">
      <c r="D166" s="13"/>
      <c r="I166" s="13"/>
    </row>
    <row r="167">
      <c r="D167" s="13"/>
      <c r="I167" s="13"/>
    </row>
    <row r="168">
      <c r="D168" s="13"/>
      <c r="I168" s="13"/>
    </row>
    <row r="169">
      <c r="D169" s="13"/>
      <c r="I169" s="13"/>
    </row>
    <row r="170">
      <c r="D170" s="13"/>
      <c r="I170" s="13"/>
    </row>
    <row r="171">
      <c r="D171" s="13"/>
      <c r="I171" s="13"/>
    </row>
    <row r="172">
      <c r="D172" s="13"/>
      <c r="I172" s="13"/>
    </row>
    <row r="173">
      <c r="D173" s="13"/>
      <c r="I173" s="13"/>
    </row>
    <row r="174">
      <c r="D174" s="13"/>
      <c r="I174" s="13"/>
    </row>
    <row r="175">
      <c r="D175" s="13"/>
      <c r="I175" s="13"/>
    </row>
    <row r="176">
      <c r="D176" s="13"/>
      <c r="I176" s="13"/>
    </row>
    <row r="177">
      <c r="D177" s="13"/>
      <c r="I177" s="13"/>
    </row>
    <row r="178">
      <c r="D178" s="13"/>
      <c r="I178" s="13"/>
    </row>
    <row r="179">
      <c r="D179" s="13"/>
      <c r="I179" s="13"/>
    </row>
    <row r="180">
      <c r="D180" s="13"/>
      <c r="I180" s="13"/>
    </row>
    <row r="181">
      <c r="D181" s="13"/>
      <c r="I181" s="13"/>
    </row>
    <row r="182">
      <c r="D182" s="13"/>
      <c r="I182" s="13"/>
    </row>
    <row r="183">
      <c r="D183" s="13"/>
      <c r="I183" s="13"/>
    </row>
    <row r="184">
      <c r="D184" s="13"/>
      <c r="I184" s="13"/>
    </row>
    <row r="185">
      <c r="D185" s="13"/>
      <c r="I185" s="13"/>
    </row>
    <row r="186">
      <c r="D186" s="13"/>
      <c r="I186" s="13"/>
    </row>
    <row r="187">
      <c r="D187" s="13"/>
      <c r="I187" s="13"/>
    </row>
    <row r="188">
      <c r="D188" s="13"/>
      <c r="I188" s="13"/>
    </row>
    <row r="189">
      <c r="D189" s="13"/>
      <c r="I189" s="13"/>
    </row>
    <row r="190">
      <c r="D190" s="13"/>
      <c r="I190" s="13"/>
    </row>
    <row r="191">
      <c r="D191" s="13"/>
      <c r="I191" s="13"/>
    </row>
    <row r="192">
      <c r="D192" s="13"/>
      <c r="I192" s="13"/>
    </row>
    <row r="193">
      <c r="D193" s="13"/>
      <c r="I193" s="13"/>
    </row>
    <row r="194">
      <c r="D194" s="13"/>
      <c r="I194" s="13"/>
    </row>
    <row r="195">
      <c r="D195" s="13"/>
      <c r="I195" s="13"/>
    </row>
    <row r="196">
      <c r="D196" s="13"/>
      <c r="I196" s="13"/>
    </row>
    <row r="197">
      <c r="D197" s="13"/>
      <c r="I197" s="13"/>
    </row>
    <row r="198">
      <c r="D198" s="13"/>
      <c r="I198" s="13"/>
    </row>
    <row r="199">
      <c r="D199" s="13"/>
      <c r="I199" s="13"/>
    </row>
    <row r="200">
      <c r="D200" s="13"/>
      <c r="I200" s="13"/>
    </row>
    <row r="201">
      <c r="D201" s="13"/>
      <c r="I201" s="13"/>
    </row>
    <row r="202">
      <c r="D202" s="13"/>
      <c r="I202" s="13"/>
    </row>
    <row r="203">
      <c r="D203" s="13"/>
      <c r="I203" s="13"/>
    </row>
    <row r="204">
      <c r="D204" s="13"/>
      <c r="I204" s="13"/>
    </row>
    <row r="205">
      <c r="D205" s="13"/>
      <c r="I205" s="13"/>
    </row>
    <row r="206">
      <c r="D206" s="13"/>
      <c r="I206" s="13"/>
    </row>
    <row r="207">
      <c r="D207" s="13"/>
      <c r="I207" s="13"/>
    </row>
    <row r="208">
      <c r="D208" s="13"/>
      <c r="I208" s="13"/>
    </row>
    <row r="209">
      <c r="D209" s="13"/>
      <c r="I209" s="13"/>
    </row>
    <row r="210">
      <c r="D210" s="13"/>
      <c r="I210" s="13"/>
    </row>
    <row r="211">
      <c r="D211" s="13"/>
      <c r="I211" s="13"/>
    </row>
    <row r="212">
      <c r="D212" s="13"/>
      <c r="I212" s="13"/>
    </row>
    <row r="213">
      <c r="D213" s="13"/>
      <c r="I213" s="13"/>
    </row>
    <row r="214">
      <c r="D214" s="13"/>
      <c r="I214" s="13"/>
    </row>
    <row r="215">
      <c r="D215" s="13"/>
      <c r="I215" s="13"/>
    </row>
    <row r="216">
      <c r="D216" s="13"/>
      <c r="I216" s="13"/>
    </row>
    <row r="217">
      <c r="D217" s="13"/>
      <c r="I217" s="13"/>
    </row>
    <row r="218">
      <c r="D218" s="13"/>
      <c r="I218" s="13"/>
    </row>
    <row r="219">
      <c r="D219" s="13"/>
      <c r="I219" s="13"/>
    </row>
    <row r="220">
      <c r="D220" s="13"/>
      <c r="I220" s="13"/>
    </row>
    <row r="221">
      <c r="D221" s="13"/>
      <c r="I221" s="13"/>
    </row>
    <row r="222">
      <c r="D222" s="13"/>
      <c r="I222" s="13"/>
    </row>
    <row r="223">
      <c r="D223" s="13"/>
      <c r="I223" s="13"/>
    </row>
    <row r="224">
      <c r="D224" s="13"/>
      <c r="I224" s="13"/>
    </row>
    <row r="225">
      <c r="D225" s="13"/>
      <c r="I225" s="13"/>
    </row>
    <row r="226">
      <c r="D226" s="13"/>
      <c r="I226" s="13"/>
    </row>
    <row r="227">
      <c r="D227" s="13"/>
      <c r="I227" s="13"/>
    </row>
    <row r="228">
      <c r="D228" s="13"/>
      <c r="I228" s="13"/>
    </row>
    <row r="229">
      <c r="D229" s="13"/>
      <c r="I229" s="13"/>
    </row>
    <row r="230">
      <c r="D230" s="13"/>
      <c r="I230" s="13"/>
    </row>
    <row r="231">
      <c r="D231" s="13"/>
      <c r="I231" s="13"/>
    </row>
    <row r="232">
      <c r="D232" s="13"/>
      <c r="I232" s="13"/>
    </row>
    <row r="233">
      <c r="D233" s="13"/>
      <c r="I233" s="13"/>
    </row>
    <row r="234">
      <c r="D234" s="13"/>
      <c r="I234" s="13"/>
    </row>
    <row r="235">
      <c r="D235" s="13"/>
      <c r="I235" s="13"/>
    </row>
    <row r="236">
      <c r="D236" s="13"/>
      <c r="I236" s="13"/>
    </row>
    <row r="237">
      <c r="D237" s="13"/>
      <c r="I237" s="13"/>
    </row>
    <row r="238">
      <c r="D238" s="13"/>
      <c r="I238" s="13"/>
    </row>
    <row r="239">
      <c r="D239" s="13"/>
      <c r="I239" s="13"/>
    </row>
    <row r="240">
      <c r="D240" s="13"/>
      <c r="I240" s="13"/>
    </row>
    <row r="241">
      <c r="D241" s="13"/>
      <c r="I241" s="13"/>
    </row>
    <row r="242">
      <c r="D242" s="13"/>
      <c r="I242" s="13"/>
    </row>
    <row r="243">
      <c r="D243" s="13"/>
      <c r="I243" s="13"/>
    </row>
    <row r="244">
      <c r="D244" s="13"/>
      <c r="I244" s="13"/>
    </row>
    <row r="245">
      <c r="D245" s="13"/>
      <c r="I245" s="13"/>
    </row>
    <row r="246">
      <c r="D246" s="13"/>
      <c r="I246" s="13"/>
    </row>
    <row r="247">
      <c r="D247" s="13"/>
      <c r="I247" s="13"/>
    </row>
    <row r="248">
      <c r="D248" s="13"/>
      <c r="I248" s="13"/>
    </row>
    <row r="249">
      <c r="D249" s="13"/>
      <c r="I249" s="13"/>
    </row>
    <row r="250">
      <c r="D250" s="13"/>
      <c r="I250" s="13"/>
    </row>
    <row r="251">
      <c r="D251" s="13"/>
      <c r="I251" s="13"/>
    </row>
    <row r="252">
      <c r="D252" s="13"/>
      <c r="I252" s="13"/>
    </row>
    <row r="253">
      <c r="D253" s="13"/>
      <c r="I253" s="13"/>
    </row>
    <row r="254">
      <c r="D254" s="13"/>
      <c r="I254" s="13"/>
    </row>
    <row r="255">
      <c r="D255" s="13"/>
      <c r="I255" s="13"/>
    </row>
    <row r="256">
      <c r="D256" s="13"/>
      <c r="I256" s="13"/>
    </row>
    <row r="257">
      <c r="D257" s="13"/>
      <c r="I257" s="13"/>
    </row>
    <row r="258">
      <c r="D258" s="13"/>
      <c r="I258" s="13"/>
    </row>
    <row r="259">
      <c r="D259" s="13"/>
      <c r="I259" s="13"/>
    </row>
    <row r="260">
      <c r="D260" s="13"/>
      <c r="I260" s="13"/>
    </row>
    <row r="261">
      <c r="D261" s="13"/>
      <c r="I261" s="13"/>
    </row>
    <row r="262">
      <c r="D262" s="13"/>
      <c r="I262" s="13"/>
    </row>
    <row r="263">
      <c r="D263" s="13"/>
      <c r="I263" s="13"/>
    </row>
    <row r="264">
      <c r="D264" s="13"/>
      <c r="I264" s="13"/>
    </row>
    <row r="265">
      <c r="D265" s="13"/>
      <c r="I265" s="13"/>
    </row>
    <row r="266">
      <c r="D266" s="13"/>
      <c r="I266" s="13"/>
    </row>
    <row r="267">
      <c r="D267" s="13"/>
      <c r="I267" s="13"/>
    </row>
    <row r="268">
      <c r="D268" s="13"/>
      <c r="I268" s="13"/>
    </row>
    <row r="269">
      <c r="D269" s="13"/>
      <c r="I269" s="13"/>
    </row>
    <row r="270">
      <c r="D270" s="13"/>
      <c r="I270" s="13"/>
    </row>
    <row r="271">
      <c r="D271" s="13"/>
      <c r="I271" s="13"/>
    </row>
    <row r="272">
      <c r="D272" s="13"/>
      <c r="I272" s="13"/>
    </row>
    <row r="273">
      <c r="D273" s="13"/>
      <c r="I273" s="13"/>
    </row>
    <row r="274">
      <c r="D274" s="13"/>
      <c r="I274" s="13"/>
    </row>
    <row r="275">
      <c r="D275" s="13"/>
      <c r="I275" s="13"/>
    </row>
    <row r="276">
      <c r="D276" s="13"/>
      <c r="I276" s="13"/>
    </row>
    <row r="277">
      <c r="D277" s="13"/>
      <c r="I277" s="13"/>
    </row>
    <row r="278">
      <c r="D278" s="13"/>
      <c r="I278" s="13"/>
    </row>
    <row r="279">
      <c r="D279" s="13"/>
      <c r="I279" s="13"/>
    </row>
    <row r="280">
      <c r="D280" s="13"/>
      <c r="I280" s="13"/>
    </row>
    <row r="281">
      <c r="D281" s="13"/>
      <c r="I281" s="13"/>
    </row>
    <row r="282">
      <c r="D282" s="13"/>
      <c r="I282" s="13"/>
    </row>
    <row r="283">
      <c r="D283" s="13"/>
      <c r="I283" s="13"/>
    </row>
    <row r="284">
      <c r="D284" s="13"/>
      <c r="I284" s="13"/>
    </row>
    <row r="285">
      <c r="D285" s="13"/>
      <c r="I285" s="13"/>
    </row>
    <row r="286">
      <c r="D286" s="13"/>
      <c r="I286" s="13"/>
    </row>
    <row r="287">
      <c r="D287" s="13"/>
      <c r="I287" s="13"/>
    </row>
    <row r="288">
      <c r="D288" s="13"/>
      <c r="I288" s="13"/>
    </row>
    <row r="289">
      <c r="D289" s="13"/>
      <c r="I289" s="13"/>
    </row>
    <row r="290">
      <c r="D290" s="13"/>
      <c r="I290" s="13"/>
    </row>
    <row r="291">
      <c r="D291" s="13"/>
      <c r="I291" s="13"/>
    </row>
    <row r="292">
      <c r="D292" s="13"/>
      <c r="I292" s="13"/>
    </row>
    <row r="293">
      <c r="D293" s="13"/>
      <c r="I293" s="13"/>
    </row>
    <row r="294">
      <c r="D294" s="13"/>
      <c r="I294" s="13"/>
    </row>
    <row r="295">
      <c r="D295" s="13"/>
      <c r="I295" s="13"/>
    </row>
    <row r="296">
      <c r="D296" s="13"/>
      <c r="I296" s="13"/>
    </row>
    <row r="297">
      <c r="D297" s="13"/>
      <c r="I297" s="13"/>
    </row>
    <row r="298">
      <c r="D298" s="13"/>
      <c r="I298" s="13"/>
    </row>
    <row r="299">
      <c r="D299" s="13"/>
      <c r="I299" s="13"/>
    </row>
    <row r="300">
      <c r="D300" s="13"/>
      <c r="I300" s="13"/>
    </row>
    <row r="301">
      <c r="D301" s="13"/>
      <c r="I301" s="13"/>
    </row>
    <row r="302">
      <c r="D302" s="13"/>
      <c r="I302" s="13"/>
    </row>
    <row r="303">
      <c r="D303" s="13"/>
      <c r="I303" s="13"/>
    </row>
    <row r="304">
      <c r="D304" s="13"/>
      <c r="I304" s="13"/>
    </row>
    <row r="305">
      <c r="D305" s="13"/>
      <c r="I305" s="13"/>
    </row>
    <row r="306">
      <c r="D306" s="13"/>
      <c r="I306" s="13"/>
    </row>
    <row r="307">
      <c r="D307" s="13"/>
      <c r="I307" s="13"/>
    </row>
    <row r="308">
      <c r="D308" s="13"/>
      <c r="I308" s="13"/>
    </row>
    <row r="309">
      <c r="D309" s="13"/>
      <c r="I309" s="13"/>
    </row>
    <row r="310">
      <c r="D310" s="13"/>
      <c r="I310" s="13"/>
    </row>
    <row r="311">
      <c r="D311" s="13"/>
      <c r="I311" s="13"/>
    </row>
    <row r="312">
      <c r="D312" s="13"/>
      <c r="I312" s="13"/>
    </row>
    <row r="313">
      <c r="D313" s="13"/>
      <c r="I313" s="13"/>
    </row>
    <row r="314">
      <c r="D314" s="13"/>
      <c r="I314" s="13"/>
    </row>
    <row r="315">
      <c r="D315" s="13"/>
      <c r="I315" s="13"/>
    </row>
    <row r="316">
      <c r="D316" s="13"/>
      <c r="I316" s="13"/>
    </row>
    <row r="317">
      <c r="D317" s="13"/>
      <c r="I317" s="13"/>
    </row>
    <row r="318">
      <c r="D318" s="13"/>
      <c r="I318" s="13"/>
    </row>
    <row r="319">
      <c r="D319" s="13"/>
      <c r="I319" s="13"/>
    </row>
    <row r="320">
      <c r="D320" s="13"/>
      <c r="I320" s="13"/>
    </row>
    <row r="321">
      <c r="D321" s="13"/>
      <c r="I321" s="13"/>
    </row>
    <row r="322">
      <c r="D322" s="13"/>
      <c r="I322" s="13"/>
    </row>
    <row r="323">
      <c r="D323" s="13"/>
      <c r="I323" s="13"/>
    </row>
    <row r="324">
      <c r="D324" s="13"/>
      <c r="I324" s="13"/>
    </row>
    <row r="325">
      <c r="D325" s="13"/>
      <c r="I325" s="13"/>
    </row>
    <row r="326">
      <c r="D326" s="13"/>
      <c r="I326" s="13"/>
    </row>
    <row r="327">
      <c r="D327" s="13"/>
      <c r="I327" s="13"/>
    </row>
    <row r="328">
      <c r="D328" s="13"/>
      <c r="I328" s="13"/>
    </row>
    <row r="329">
      <c r="D329" s="13"/>
      <c r="I329" s="13"/>
    </row>
    <row r="330">
      <c r="D330" s="13"/>
      <c r="I330" s="13"/>
    </row>
    <row r="331">
      <c r="D331" s="13"/>
      <c r="I331" s="13"/>
    </row>
    <row r="332">
      <c r="D332" s="13"/>
      <c r="I332" s="13"/>
    </row>
    <row r="333">
      <c r="D333" s="13"/>
      <c r="I333" s="13"/>
    </row>
    <row r="334">
      <c r="D334" s="13"/>
      <c r="I334" s="13"/>
    </row>
    <row r="335">
      <c r="D335" s="13"/>
      <c r="I335" s="13"/>
    </row>
    <row r="336">
      <c r="D336" s="13"/>
      <c r="I336" s="13"/>
    </row>
    <row r="337">
      <c r="D337" s="13"/>
      <c r="I337" s="13"/>
    </row>
    <row r="338">
      <c r="D338" s="13"/>
      <c r="I338" s="13"/>
    </row>
    <row r="339">
      <c r="D339" s="13"/>
      <c r="I339" s="13"/>
    </row>
    <row r="340">
      <c r="D340" s="13"/>
      <c r="I340" s="13"/>
    </row>
    <row r="341">
      <c r="D341" s="13"/>
      <c r="I341" s="13"/>
    </row>
    <row r="342">
      <c r="D342" s="13"/>
      <c r="I342" s="13"/>
    </row>
    <row r="343">
      <c r="D343" s="13"/>
      <c r="I343" s="13"/>
    </row>
    <row r="344">
      <c r="D344" s="13"/>
      <c r="I344" s="13"/>
    </row>
    <row r="345">
      <c r="D345" s="13"/>
      <c r="I345" s="13"/>
    </row>
    <row r="346">
      <c r="D346" s="13"/>
      <c r="I346" s="13"/>
    </row>
    <row r="347">
      <c r="D347" s="13"/>
      <c r="I347" s="13"/>
    </row>
    <row r="348">
      <c r="D348" s="13"/>
      <c r="I348" s="13"/>
    </row>
    <row r="349">
      <c r="D349" s="13"/>
      <c r="I349" s="13"/>
    </row>
    <row r="350">
      <c r="D350" s="13"/>
      <c r="I350" s="13"/>
    </row>
    <row r="351">
      <c r="D351" s="13"/>
      <c r="I351" s="13"/>
    </row>
    <row r="352">
      <c r="D352" s="13"/>
      <c r="I352" s="13"/>
    </row>
    <row r="353">
      <c r="D353" s="13"/>
      <c r="I353" s="13"/>
    </row>
    <row r="354">
      <c r="D354" s="13"/>
      <c r="I354" s="13"/>
    </row>
    <row r="355">
      <c r="D355" s="13"/>
      <c r="I355" s="13"/>
    </row>
    <row r="356">
      <c r="D356" s="13"/>
      <c r="I356" s="13"/>
    </row>
    <row r="357">
      <c r="D357" s="13"/>
      <c r="I357" s="13"/>
    </row>
    <row r="358">
      <c r="D358" s="13"/>
      <c r="I358" s="13"/>
    </row>
    <row r="359">
      <c r="D359" s="13"/>
      <c r="I359" s="13"/>
    </row>
    <row r="360">
      <c r="D360" s="13"/>
      <c r="I360" s="13"/>
    </row>
    <row r="361">
      <c r="D361" s="13"/>
      <c r="I361" s="13"/>
    </row>
    <row r="362">
      <c r="D362" s="13"/>
      <c r="I362" s="13"/>
    </row>
    <row r="363">
      <c r="D363" s="13"/>
      <c r="I363" s="13"/>
    </row>
    <row r="364">
      <c r="D364" s="13"/>
      <c r="I364" s="13"/>
    </row>
    <row r="365">
      <c r="D365" s="13"/>
      <c r="I365" s="13"/>
    </row>
    <row r="366">
      <c r="D366" s="13"/>
      <c r="I366" s="13"/>
    </row>
    <row r="367">
      <c r="D367" s="13"/>
      <c r="I367" s="13"/>
    </row>
    <row r="368">
      <c r="D368" s="13"/>
      <c r="I368" s="13"/>
    </row>
    <row r="369">
      <c r="D369" s="13"/>
      <c r="I369" s="13"/>
    </row>
    <row r="370">
      <c r="D370" s="13"/>
      <c r="I370" s="13"/>
    </row>
    <row r="371">
      <c r="D371" s="13"/>
      <c r="I371" s="13"/>
    </row>
    <row r="372">
      <c r="D372" s="13"/>
      <c r="I372" s="13"/>
    </row>
    <row r="373">
      <c r="D373" s="13"/>
      <c r="I373" s="13"/>
    </row>
    <row r="374">
      <c r="D374" s="13"/>
      <c r="I374" s="13"/>
    </row>
    <row r="375">
      <c r="D375" s="13"/>
      <c r="I375" s="13"/>
    </row>
    <row r="376">
      <c r="D376" s="13"/>
      <c r="I376" s="13"/>
    </row>
    <row r="377">
      <c r="D377" s="13"/>
      <c r="I377" s="13"/>
    </row>
    <row r="378">
      <c r="D378" s="13"/>
      <c r="I378" s="13"/>
    </row>
    <row r="379">
      <c r="D379" s="13"/>
      <c r="I379" s="13"/>
    </row>
    <row r="380">
      <c r="D380" s="13"/>
      <c r="I380" s="13"/>
    </row>
    <row r="381">
      <c r="D381" s="13"/>
      <c r="I381" s="13"/>
    </row>
    <row r="382">
      <c r="D382" s="13"/>
      <c r="I382" s="13"/>
    </row>
    <row r="383">
      <c r="D383" s="13"/>
      <c r="I383" s="13"/>
    </row>
    <row r="384">
      <c r="D384" s="13"/>
      <c r="I384" s="13"/>
    </row>
    <row r="385">
      <c r="D385" s="13"/>
      <c r="I385" s="13"/>
    </row>
    <row r="386">
      <c r="D386" s="13"/>
      <c r="I386" s="13"/>
    </row>
    <row r="387">
      <c r="D387" s="13"/>
      <c r="I387" s="13"/>
    </row>
    <row r="388">
      <c r="D388" s="13"/>
      <c r="I388" s="13"/>
    </row>
    <row r="389">
      <c r="D389" s="13"/>
      <c r="I389" s="13"/>
    </row>
    <row r="390">
      <c r="D390" s="13"/>
      <c r="I390" s="13"/>
    </row>
    <row r="391">
      <c r="D391" s="13"/>
      <c r="I391" s="13"/>
    </row>
    <row r="392">
      <c r="D392" s="13"/>
      <c r="I392" s="13"/>
    </row>
    <row r="393">
      <c r="D393" s="13"/>
      <c r="I393" s="13"/>
    </row>
    <row r="394">
      <c r="D394" s="13"/>
      <c r="I394" s="13"/>
    </row>
    <row r="395">
      <c r="D395" s="13"/>
      <c r="I395" s="13"/>
    </row>
    <row r="396">
      <c r="D396" s="13"/>
      <c r="I396" s="13"/>
    </row>
    <row r="397">
      <c r="D397" s="13"/>
      <c r="I397" s="13"/>
    </row>
    <row r="398">
      <c r="D398" s="13"/>
      <c r="I398" s="13"/>
    </row>
    <row r="399">
      <c r="D399" s="13"/>
      <c r="I399" s="13"/>
    </row>
    <row r="400">
      <c r="D400" s="13"/>
      <c r="I400" s="13"/>
    </row>
    <row r="401">
      <c r="D401" s="13"/>
      <c r="I401" s="13"/>
    </row>
    <row r="402">
      <c r="D402" s="13"/>
      <c r="I402" s="13"/>
    </row>
    <row r="403">
      <c r="D403" s="13"/>
      <c r="I403" s="13"/>
    </row>
    <row r="404">
      <c r="D404" s="13"/>
      <c r="I404" s="13"/>
    </row>
    <row r="405">
      <c r="D405" s="13"/>
      <c r="I405" s="13"/>
    </row>
    <row r="406">
      <c r="D406" s="13"/>
      <c r="I406" s="13"/>
    </row>
    <row r="407">
      <c r="D407" s="13"/>
      <c r="I407" s="13"/>
    </row>
    <row r="408">
      <c r="D408" s="13"/>
      <c r="I408" s="13"/>
    </row>
    <row r="409">
      <c r="D409" s="13"/>
      <c r="I409" s="13"/>
    </row>
    <row r="410">
      <c r="D410" s="13"/>
      <c r="I410" s="13"/>
    </row>
    <row r="411">
      <c r="D411" s="13"/>
      <c r="I411" s="13"/>
    </row>
    <row r="412">
      <c r="D412" s="13"/>
      <c r="I412" s="13"/>
    </row>
    <row r="413">
      <c r="D413" s="13"/>
      <c r="I413" s="13"/>
    </row>
    <row r="414">
      <c r="D414" s="13"/>
      <c r="I414" s="13"/>
    </row>
    <row r="415">
      <c r="D415" s="13"/>
      <c r="I415" s="13"/>
    </row>
    <row r="416">
      <c r="D416" s="13"/>
      <c r="I416" s="13"/>
    </row>
    <row r="417">
      <c r="D417" s="13"/>
      <c r="I417" s="13"/>
    </row>
    <row r="418">
      <c r="D418" s="13"/>
      <c r="I418" s="13"/>
    </row>
    <row r="419">
      <c r="D419" s="13"/>
      <c r="I419" s="13"/>
    </row>
    <row r="420">
      <c r="D420" s="13"/>
      <c r="I420" s="13"/>
    </row>
    <row r="421">
      <c r="D421" s="13"/>
      <c r="I421" s="13"/>
    </row>
    <row r="422">
      <c r="D422" s="13"/>
      <c r="I422" s="13"/>
    </row>
    <row r="423">
      <c r="D423" s="13"/>
      <c r="I423" s="13"/>
    </row>
    <row r="424">
      <c r="D424" s="13"/>
      <c r="I424" s="13"/>
    </row>
    <row r="425">
      <c r="D425" s="13"/>
      <c r="I425" s="13"/>
    </row>
    <row r="426">
      <c r="D426" s="13"/>
      <c r="I426" s="13"/>
    </row>
    <row r="427">
      <c r="D427" s="13"/>
      <c r="I427" s="13"/>
    </row>
    <row r="428">
      <c r="D428" s="13"/>
      <c r="I428" s="13"/>
    </row>
    <row r="429">
      <c r="D429" s="13"/>
      <c r="I429" s="13"/>
    </row>
    <row r="430">
      <c r="D430" s="13"/>
      <c r="I430" s="13"/>
    </row>
    <row r="431">
      <c r="D431" s="13"/>
      <c r="I431" s="13"/>
    </row>
    <row r="432">
      <c r="D432" s="13"/>
      <c r="I432" s="13"/>
    </row>
    <row r="433">
      <c r="D433" s="13"/>
      <c r="I433" s="13"/>
    </row>
    <row r="434">
      <c r="D434" s="13"/>
      <c r="I434" s="13"/>
    </row>
    <row r="435">
      <c r="D435" s="13"/>
      <c r="I435" s="13"/>
    </row>
    <row r="436">
      <c r="D436" s="13"/>
      <c r="I436" s="13"/>
    </row>
    <row r="437">
      <c r="D437" s="13"/>
      <c r="I437" s="13"/>
    </row>
    <row r="438">
      <c r="D438" s="13"/>
      <c r="I438" s="13"/>
    </row>
    <row r="439">
      <c r="D439" s="13"/>
      <c r="I439" s="13"/>
    </row>
    <row r="440">
      <c r="D440" s="13"/>
      <c r="I440" s="13"/>
    </row>
    <row r="441">
      <c r="D441" s="13"/>
      <c r="I441" s="13"/>
    </row>
    <row r="442">
      <c r="D442" s="13"/>
      <c r="I442" s="13"/>
    </row>
    <row r="443">
      <c r="D443" s="13"/>
      <c r="I443" s="13"/>
    </row>
    <row r="444">
      <c r="D444" s="13"/>
      <c r="I444" s="13"/>
    </row>
    <row r="445">
      <c r="D445" s="13"/>
      <c r="I445" s="13"/>
    </row>
    <row r="446">
      <c r="D446" s="13"/>
      <c r="I446" s="13"/>
    </row>
    <row r="447">
      <c r="D447" s="13"/>
      <c r="I447" s="13"/>
    </row>
    <row r="448">
      <c r="D448" s="13"/>
      <c r="I448" s="13"/>
    </row>
    <row r="449">
      <c r="D449" s="13"/>
      <c r="I449" s="13"/>
    </row>
    <row r="450">
      <c r="D450" s="13"/>
      <c r="I450" s="13"/>
    </row>
    <row r="451">
      <c r="D451" s="13"/>
      <c r="I451" s="13"/>
    </row>
    <row r="452">
      <c r="D452" s="13"/>
      <c r="I452" s="13"/>
    </row>
    <row r="453">
      <c r="D453" s="13"/>
      <c r="I453" s="13"/>
    </row>
    <row r="454">
      <c r="D454" s="13"/>
      <c r="I454" s="13"/>
    </row>
    <row r="455">
      <c r="D455" s="13"/>
      <c r="I455" s="13"/>
    </row>
    <row r="456">
      <c r="D456" s="13"/>
      <c r="I456" s="13"/>
    </row>
    <row r="457">
      <c r="D457" s="13"/>
      <c r="I457" s="13"/>
    </row>
    <row r="458">
      <c r="D458" s="13"/>
      <c r="I458" s="13"/>
    </row>
    <row r="459">
      <c r="D459" s="13"/>
      <c r="I459" s="13"/>
    </row>
    <row r="460">
      <c r="D460" s="13"/>
      <c r="I460" s="13"/>
    </row>
    <row r="461">
      <c r="D461" s="13"/>
      <c r="I461" s="13"/>
    </row>
    <row r="462">
      <c r="D462" s="13"/>
      <c r="I462" s="13"/>
    </row>
    <row r="463">
      <c r="D463" s="13"/>
      <c r="I463" s="13"/>
    </row>
    <row r="464">
      <c r="D464" s="13"/>
      <c r="I464" s="13"/>
    </row>
    <row r="465">
      <c r="D465" s="13"/>
      <c r="I465" s="13"/>
    </row>
    <row r="466">
      <c r="D466" s="13"/>
      <c r="I466" s="13"/>
    </row>
    <row r="467">
      <c r="D467" s="13"/>
      <c r="I467" s="13"/>
    </row>
    <row r="468">
      <c r="D468" s="13"/>
      <c r="I468" s="13"/>
    </row>
    <row r="469">
      <c r="D469" s="13"/>
      <c r="I469" s="13"/>
    </row>
    <row r="470">
      <c r="D470" s="13"/>
      <c r="I470" s="13"/>
    </row>
    <row r="471">
      <c r="D471" s="13"/>
      <c r="I471" s="13"/>
    </row>
    <row r="472">
      <c r="D472" s="13"/>
      <c r="I472" s="13"/>
    </row>
    <row r="473">
      <c r="D473" s="13"/>
      <c r="I473" s="13"/>
    </row>
    <row r="474">
      <c r="D474" s="13"/>
      <c r="I474" s="13"/>
    </row>
    <row r="475">
      <c r="D475" s="13"/>
      <c r="I475" s="13"/>
    </row>
    <row r="476">
      <c r="D476" s="13"/>
      <c r="I476" s="13"/>
    </row>
    <row r="477">
      <c r="D477" s="13"/>
      <c r="I477" s="13"/>
    </row>
    <row r="478">
      <c r="D478" s="13"/>
      <c r="I478" s="13"/>
    </row>
    <row r="479">
      <c r="D479" s="13"/>
      <c r="I479" s="13"/>
    </row>
    <row r="480">
      <c r="D480" s="13"/>
      <c r="I480" s="13"/>
    </row>
    <row r="481">
      <c r="D481" s="13"/>
      <c r="I481" s="13"/>
    </row>
    <row r="482">
      <c r="D482" s="13"/>
      <c r="I482" s="13"/>
    </row>
    <row r="483">
      <c r="D483" s="13"/>
      <c r="I483" s="13"/>
    </row>
    <row r="484">
      <c r="D484" s="13"/>
      <c r="I484" s="13"/>
    </row>
    <row r="485">
      <c r="D485" s="13"/>
      <c r="I485" s="13"/>
    </row>
    <row r="486">
      <c r="D486" s="13"/>
      <c r="I486" s="13"/>
    </row>
    <row r="487">
      <c r="D487" s="13"/>
      <c r="I487" s="13"/>
    </row>
    <row r="488">
      <c r="D488" s="13"/>
      <c r="I488" s="13"/>
    </row>
    <row r="489">
      <c r="D489" s="13"/>
      <c r="I489" s="13"/>
    </row>
    <row r="490">
      <c r="D490" s="13"/>
      <c r="I490" s="13"/>
    </row>
    <row r="491">
      <c r="D491" s="13"/>
      <c r="I491" s="13"/>
    </row>
    <row r="492">
      <c r="D492" s="13"/>
      <c r="I492" s="13"/>
    </row>
    <row r="493">
      <c r="D493" s="13"/>
      <c r="I493" s="13"/>
    </row>
    <row r="494">
      <c r="D494" s="13"/>
      <c r="I494" s="13"/>
    </row>
    <row r="495">
      <c r="D495" s="13"/>
      <c r="I495" s="13"/>
    </row>
    <row r="496">
      <c r="D496" s="13"/>
      <c r="I496" s="13"/>
    </row>
    <row r="497">
      <c r="D497" s="13"/>
      <c r="I497" s="13"/>
    </row>
    <row r="498">
      <c r="D498" s="13"/>
      <c r="I498" s="13"/>
    </row>
    <row r="499">
      <c r="D499" s="13"/>
      <c r="I499" s="13"/>
    </row>
    <row r="500">
      <c r="D500" s="13"/>
      <c r="I500" s="13"/>
    </row>
    <row r="501">
      <c r="D501" s="13"/>
      <c r="I501" s="13"/>
    </row>
    <row r="502">
      <c r="D502" s="13"/>
      <c r="I502" s="13"/>
    </row>
    <row r="503">
      <c r="D503" s="13"/>
      <c r="I503" s="13"/>
    </row>
    <row r="504">
      <c r="D504" s="13"/>
      <c r="I504" s="13"/>
    </row>
    <row r="505">
      <c r="D505" s="13"/>
      <c r="I505" s="13"/>
    </row>
    <row r="506">
      <c r="D506" s="13"/>
      <c r="I506" s="13"/>
    </row>
    <row r="507">
      <c r="D507" s="13"/>
      <c r="I507" s="13"/>
    </row>
    <row r="508">
      <c r="D508" s="13"/>
      <c r="I508" s="13"/>
    </row>
    <row r="509">
      <c r="D509" s="13"/>
      <c r="I509" s="13"/>
    </row>
    <row r="510">
      <c r="D510" s="13"/>
      <c r="I510" s="13"/>
    </row>
    <row r="511">
      <c r="D511" s="13"/>
      <c r="I511" s="13"/>
    </row>
    <row r="512">
      <c r="D512" s="13"/>
      <c r="I512" s="13"/>
    </row>
    <row r="513">
      <c r="D513" s="13"/>
      <c r="I513" s="13"/>
    </row>
    <row r="514">
      <c r="D514" s="13"/>
      <c r="I514" s="13"/>
    </row>
    <row r="515">
      <c r="D515" s="13"/>
      <c r="I515" s="13"/>
    </row>
    <row r="516">
      <c r="D516" s="13"/>
      <c r="I516" s="13"/>
    </row>
    <row r="517">
      <c r="D517" s="13"/>
      <c r="I517" s="13"/>
    </row>
    <row r="518">
      <c r="D518" s="13"/>
      <c r="I518" s="13"/>
    </row>
    <row r="519">
      <c r="D519" s="13"/>
      <c r="I519" s="13"/>
    </row>
    <row r="520">
      <c r="D520" s="13"/>
      <c r="I520" s="13"/>
    </row>
    <row r="521">
      <c r="D521" s="13"/>
      <c r="I521" s="13"/>
    </row>
    <row r="522">
      <c r="D522" s="13"/>
      <c r="I522" s="13"/>
    </row>
    <row r="523">
      <c r="D523" s="13"/>
      <c r="I523" s="13"/>
    </row>
    <row r="524">
      <c r="D524" s="13"/>
      <c r="I524" s="13"/>
    </row>
    <row r="525">
      <c r="D525" s="13"/>
      <c r="I525" s="13"/>
    </row>
    <row r="526">
      <c r="D526" s="13"/>
      <c r="I526" s="13"/>
    </row>
    <row r="527">
      <c r="D527" s="13"/>
      <c r="I527" s="13"/>
    </row>
    <row r="528">
      <c r="D528" s="13"/>
      <c r="I528" s="13"/>
    </row>
    <row r="529">
      <c r="D529" s="13"/>
      <c r="I529" s="13"/>
    </row>
    <row r="530">
      <c r="D530" s="13"/>
      <c r="I530" s="13"/>
    </row>
    <row r="531">
      <c r="D531" s="13"/>
      <c r="I531" s="13"/>
    </row>
    <row r="532">
      <c r="D532" s="13"/>
      <c r="I532" s="13"/>
    </row>
    <row r="533">
      <c r="D533" s="13"/>
      <c r="I533" s="13"/>
    </row>
    <row r="534">
      <c r="D534" s="13"/>
      <c r="I534" s="13"/>
    </row>
    <row r="535">
      <c r="D535" s="13"/>
      <c r="I535" s="13"/>
    </row>
    <row r="536">
      <c r="D536" s="13"/>
      <c r="I536" s="13"/>
    </row>
    <row r="537">
      <c r="D537" s="13"/>
      <c r="I537" s="13"/>
    </row>
    <row r="538">
      <c r="D538" s="13"/>
      <c r="I538" s="13"/>
    </row>
    <row r="539">
      <c r="D539" s="13"/>
      <c r="I539" s="13"/>
    </row>
    <row r="540">
      <c r="D540" s="13"/>
      <c r="I540" s="13"/>
    </row>
    <row r="541">
      <c r="D541" s="13"/>
      <c r="I541" s="13"/>
    </row>
    <row r="542">
      <c r="D542" s="13"/>
      <c r="I542" s="13"/>
    </row>
    <row r="543">
      <c r="D543" s="13"/>
      <c r="I543" s="13"/>
    </row>
    <row r="544">
      <c r="D544" s="13"/>
      <c r="I544" s="13"/>
    </row>
    <row r="545">
      <c r="D545" s="13"/>
      <c r="I545" s="13"/>
    </row>
    <row r="546">
      <c r="D546" s="13"/>
      <c r="I546" s="13"/>
    </row>
    <row r="547">
      <c r="D547" s="13"/>
      <c r="I547" s="13"/>
    </row>
    <row r="548">
      <c r="D548" s="13"/>
      <c r="I548" s="13"/>
    </row>
    <row r="549">
      <c r="D549" s="13"/>
      <c r="I549" s="13"/>
    </row>
    <row r="550">
      <c r="D550" s="13"/>
      <c r="I550" s="13"/>
    </row>
    <row r="551">
      <c r="D551" s="13"/>
      <c r="I551" s="13"/>
    </row>
    <row r="552">
      <c r="D552" s="13"/>
      <c r="I552" s="13"/>
    </row>
    <row r="553">
      <c r="D553" s="13"/>
      <c r="I553" s="13"/>
    </row>
    <row r="554">
      <c r="D554" s="13"/>
      <c r="I554" s="13"/>
    </row>
    <row r="555">
      <c r="D555" s="13"/>
      <c r="I555" s="13"/>
    </row>
    <row r="556">
      <c r="D556" s="13"/>
      <c r="I556" s="13"/>
    </row>
    <row r="557">
      <c r="D557" s="13"/>
      <c r="I557" s="13"/>
    </row>
    <row r="558">
      <c r="D558" s="13"/>
      <c r="I558" s="13"/>
    </row>
    <row r="559">
      <c r="D559" s="13"/>
      <c r="I559" s="13"/>
    </row>
    <row r="560">
      <c r="D560" s="13"/>
      <c r="I560" s="13"/>
    </row>
    <row r="561">
      <c r="D561" s="13"/>
      <c r="I561" s="13"/>
    </row>
    <row r="562">
      <c r="D562" s="13"/>
      <c r="I562" s="13"/>
    </row>
    <row r="563">
      <c r="D563" s="13"/>
      <c r="I563" s="13"/>
    </row>
    <row r="564">
      <c r="D564" s="13"/>
      <c r="I564" s="13"/>
    </row>
    <row r="565">
      <c r="D565" s="13"/>
      <c r="I565" s="13"/>
    </row>
    <row r="566">
      <c r="D566" s="13"/>
      <c r="I566" s="13"/>
    </row>
    <row r="567">
      <c r="D567" s="13"/>
      <c r="I567" s="13"/>
    </row>
    <row r="568">
      <c r="D568" s="13"/>
      <c r="I568" s="13"/>
    </row>
    <row r="569">
      <c r="D569" s="13"/>
      <c r="I569" s="13"/>
    </row>
    <row r="570">
      <c r="D570" s="13"/>
      <c r="I570" s="13"/>
    </row>
    <row r="571">
      <c r="D571" s="13"/>
      <c r="I571" s="13"/>
    </row>
    <row r="572">
      <c r="D572" s="13"/>
      <c r="I572" s="13"/>
    </row>
    <row r="573">
      <c r="D573" s="13"/>
      <c r="I573" s="13"/>
    </row>
    <row r="574">
      <c r="D574" s="13"/>
      <c r="I574" s="13"/>
    </row>
    <row r="575">
      <c r="D575" s="13"/>
      <c r="I575" s="13"/>
    </row>
    <row r="576">
      <c r="D576" s="13"/>
      <c r="I576" s="13"/>
    </row>
    <row r="577">
      <c r="D577" s="13"/>
      <c r="I577" s="13"/>
    </row>
    <row r="578">
      <c r="D578" s="13"/>
      <c r="I578" s="13"/>
    </row>
    <row r="579">
      <c r="D579" s="13"/>
      <c r="I579" s="13"/>
    </row>
    <row r="580">
      <c r="D580" s="13"/>
      <c r="I580" s="13"/>
    </row>
    <row r="581">
      <c r="D581" s="13"/>
      <c r="I581" s="13"/>
    </row>
    <row r="582">
      <c r="D582" s="13"/>
      <c r="I582" s="13"/>
    </row>
    <row r="583">
      <c r="D583" s="13"/>
      <c r="I583" s="13"/>
    </row>
    <row r="584">
      <c r="D584" s="13"/>
      <c r="I584" s="13"/>
    </row>
    <row r="585">
      <c r="D585" s="13"/>
      <c r="I585" s="13"/>
    </row>
    <row r="586">
      <c r="D586" s="13"/>
      <c r="I586" s="13"/>
    </row>
    <row r="587">
      <c r="D587" s="13"/>
      <c r="I587" s="13"/>
    </row>
    <row r="588">
      <c r="D588" s="13"/>
      <c r="I588" s="13"/>
    </row>
    <row r="589">
      <c r="D589" s="13"/>
      <c r="I589" s="13"/>
    </row>
    <row r="590">
      <c r="D590" s="13"/>
      <c r="I590" s="13"/>
    </row>
    <row r="591">
      <c r="D591" s="13"/>
      <c r="I591" s="13"/>
    </row>
    <row r="592">
      <c r="D592" s="13"/>
      <c r="I592" s="13"/>
    </row>
    <row r="593">
      <c r="D593" s="13"/>
      <c r="I593" s="13"/>
    </row>
    <row r="594">
      <c r="D594" s="13"/>
      <c r="I594" s="13"/>
    </row>
    <row r="595">
      <c r="D595" s="13"/>
      <c r="I595" s="13"/>
    </row>
    <row r="596">
      <c r="D596" s="13"/>
      <c r="I596" s="13"/>
    </row>
    <row r="597">
      <c r="D597" s="13"/>
      <c r="I597" s="13"/>
    </row>
    <row r="598">
      <c r="D598" s="13"/>
      <c r="I598" s="13"/>
    </row>
    <row r="599">
      <c r="D599" s="13"/>
      <c r="I599" s="13"/>
    </row>
    <row r="600">
      <c r="D600" s="13"/>
      <c r="I600" s="13"/>
    </row>
    <row r="601">
      <c r="D601" s="13"/>
      <c r="I601" s="13"/>
    </row>
    <row r="602">
      <c r="D602" s="13"/>
      <c r="I602" s="13"/>
    </row>
    <row r="603">
      <c r="D603" s="13"/>
      <c r="I603" s="13"/>
    </row>
    <row r="604">
      <c r="D604" s="13"/>
      <c r="I604" s="13"/>
    </row>
    <row r="605">
      <c r="D605" s="13"/>
      <c r="I605" s="13"/>
    </row>
    <row r="606">
      <c r="D606" s="13"/>
      <c r="I606" s="13"/>
    </row>
    <row r="607">
      <c r="D607" s="13"/>
      <c r="I607" s="13"/>
    </row>
    <row r="608">
      <c r="D608" s="13"/>
      <c r="I608" s="13"/>
    </row>
    <row r="609">
      <c r="D609" s="13"/>
      <c r="I609" s="13"/>
    </row>
    <row r="610">
      <c r="D610" s="13"/>
      <c r="I610" s="13"/>
    </row>
    <row r="611">
      <c r="D611" s="13"/>
      <c r="I611" s="13"/>
    </row>
    <row r="612">
      <c r="D612" s="13"/>
      <c r="I612" s="13"/>
    </row>
    <row r="613">
      <c r="D613" s="13"/>
      <c r="I613" s="13"/>
    </row>
    <row r="614">
      <c r="D614" s="13"/>
      <c r="I614" s="13"/>
    </row>
    <row r="615">
      <c r="D615" s="13"/>
      <c r="I615" s="13"/>
    </row>
    <row r="616">
      <c r="D616" s="13"/>
      <c r="I616" s="13"/>
    </row>
    <row r="617">
      <c r="D617" s="13"/>
      <c r="I617" s="13"/>
    </row>
    <row r="618">
      <c r="D618" s="13"/>
      <c r="I618" s="13"/>
    </row>
    <row r="619">
      <c r="D619" s="13"/>
      <c r="I619" s="13"/>
    </row>
    <row r="620">
      <c r="D620" s="13"/>
      <c r="I620" s="13"/>
    </row>
    <row r="621">
      <c r="D621" s="13"/>
      <c r="I621" s="13"/>
    </row>
    <row r="622">
      <c r="D622" s="13"/>
      <c r="I622" s="13"/>
    </row>
    <row r="623">
      <c r="D623" s="13"/>
      <c r="I623" s="13"/>
    </row>
    <row r="624">
      <c r="D624" s="13"/>
      <c r="I624" s="13"/>
    </row>
    <row r="625">
      <c r="D625" s="13"/>
      <c r="I625" s="13"/>
    </row>
    <row r="626">
      <c r="D626" s="13"/>
      <c r="I626" s="13"/>
    </row>
    <row r="627">
      <c r="D627" s="13"/>
      <c r="I627" s="13"/>
    </row>
    <row r="628">
      <c r="D628" s="13"/>
      <c r="I628" s="13"/>
    </row>
    <row r="629">
      <c r="D629" s="13"/>
      <c r="I629" s="13"/>
    </row>
    <row r="630">
      <c r="D630" s="13"/>
      <c r="I630" s="13"/>
    </row>
    <row r="631">
      <c r="D631" s="13"/>
      <c r="I631" s="13"/>
    </row>
    <row r="632">
      <c r="D632" s="13"/>
      <c r="I632" s="13"/>
    </row>
    <row r="633">
      <c r="D633" s="13"/>
      <c r="I633" s="13"/>
    </row>
    <row r="634">
      <c r="D634" s="13"/>
      <c r="I634" s="13"/>
    </row>
    <row r="635">
      <c r="D635" s="13"/>
      <c r="I635" s="13"/>
    </row>
    <row r="636">
      <c r="D636" s="13"/>
      <c r="I636" s="13"/>
    </row>
    <row r="637">
      <c r="D637" s="13"/>
      <c r="I637" s="13"/>
    </row>
    <row r="638">
      <c r="D638" s="13"/>
      <c r="I638" s="13"/>
    </row>
    <row r="639">
      <c r="D639" s="13"/>
      <c r="I639" s="13"/>
    </row>
    <row r="640">
      <c r="D640" s="13"/>
      <c r="I640" s="13"/>
    </row>
    <row r="641">
      <c r="D641" s="13"/>
      <c r="I641" s="13"/>
    </row>
    <row r="642">
      <c r="D642" s="13"/>
      <c r="I642" s="13"/>
    </row>
    <row r="643">
      <c r="D643" s="13"/>
      <c r="I643" s="13"/>
    </row>
    <row r="644">
      <c r="D644" s="13"/>
      <c r="I644" s="13"/>
    </row>
    <row r="645">
      <c r="D645" s="13"/>
      <c r="I645" s="13"/>
    </row>
    <row r="646">
      <c r="D646" s="13"/>
      <c r="I646" s="13"/>
    </row>
    <row r="647">
      <c r="D647" s="13"/>
      <c r="I647" s="13"/>
    </row>
    <row r="648">
      <c r="D648" s="13"/>
      <c r="I648" s="13"/>
    </row>
    <row r="649">
      <c r="D649" s="13"/>
      <c r="I649" s="13"/>
    </row>
    <row r="650">
      <c r="D650" s="13"/>
      <c r="I650" s="13"/>
    </row>
    <row r="651">
      <c r="D651" s="13"/>
      <c r="I651" s="13"/>
    </row>
    <row r="652">
      <c r="D652" s="13"/>
      <c r="I652" s="13"/>
    </row>
    <row r="653">
      <c r="D653" s="13"/>
      <c r="I653" s="13"/>
    </row>
    <row r="654">
      <c r="D654" s="13"/>
      <c r="I654" s="13"/>
    </row>
    <row r="655">
      <c r="D655" s="13"/>
      <c r="I655" s="13"/>
    </row>
    <row r="656">
      <c r="D656" s="13"/>
      <c r="I656" s="13"/>
    </row>
    <row r="657">
      <c r="D657" s="13"/>
      <c r="I657" s="13"/>
    </row>
    <row r="658">
      <c r="D658" s="13"/>
      <c r="I658" s="13"/>
    </row>
    <row r="659">
      <c r="D659" s="13"/>
      <c r="I659" s="13"/>
    </row>
    <row r="660">
      <c r="D660" s="13"/>
      <c r="I660" s="13"/>
    </row>
    <row r="661">
      <c r="D661" s="13"/>
      <c r="I661" s="13"/>
    </row>
    <row r="662">
      <c r="D662" s="13"/>
      <c r="I662" s="13"/>
    </row>
    <row r="663">
      <c r="D663" s="13"/>
      <c r="I663" s="13"/>
    </row>
    <row r="664">
      <c r="D664" s="13"/>
      <c r="I664" s="13"/>
    </row>
    <row r="665">
      <c r="D665" s="13"/>
      <c r="I665" s="13"/>
    </row>
    <row r="666">
      <c r="D666" s="13"/>
      <c r="I666" s="13"/>
    </row>
    <row r="667">
      <c r="D667" s="13"/>
      <c r="I667" s="13"/>
    </row>
    <row r="668">
      <c r="D668" s="13"/>
      <c r="I668" s="13"/>
    </row>
    <row r="669">
      <c r="D669" s="13"/>
      <c r="I669" s="13"/>
    </row>
    <row r="670">
      <c r="D670" s="13"/>
      <c r="I670" s="13"/>
    </row>
    <row r="671">
      <c r="D671" s="13"/>
      <c r="I671" s="13"/>
    </row>
    <row r="672">
      <c r="D672" s="13"/>
      <c r="I672" s="13"/>
    </row>
    <row r="673">
      <c r="D673" s="13"/>
      <c r="I673" s="13"/>
    </row>
    <row r="674">
      <c r="D674" s="13"/>
      <c r="I674" s="13"/>
    </row>
    <row r="675">
      <c r="D675" s="13"/>
      <c r="I675" s="13"/>
    </row>
    <row r="676">
      <c r="D676" s="13"/>
      <c r="I676" s="13"/>
    </row>
    <row r="677">
      <c r="D677" s="13"/>
      <c r="I677" s="13"/>
    </row>
    <row r="678">
      <c r="D678" s="13"/>
      <c r="I678" s="13"/>
    </row>
    <row r="679">
      <c r="D679" s="13"/>
      <c r="I679" s="13"/>
    </row>
    <row r="680">
      <c r="D680" s="13"/>
      <c r="I680" s="13"/>
    </row>
    <row r="681">
      <c r="D681" s="13"/>
      <c r="I681" s="13"/>
    </row>
    <row r="682">
      <c r="D682" s="13"/>
      <c r="I682" s="13"/>
    </row>
    <row r="683">
      <c r="D683" s="13"/>
      <c r="I683" s="13"/>
    </row>
    <row r="684">
      <c r="D684" s="13"/>
      <c r="I684" s="13"/>
    </row>
    <row r="685">
      <c r="D685" s="13"/>
      <c r="I685" s="13"/>
    </row>
    <row r="686">
      <c r="D686" s="13"/>
      <c r="I686" s="13"/>
    </row>
    <row r="687">
      <c r="D687" s="13"/>
      <c r="I687" s="13"/>
    </row>
    <row r="688">
      <c r="D688" s="13"/>
      <c r="I688" s="13"/>
    </row>
    <row r="689">
      <c r="D689" s="13"/>
      <c r="I689" s="13"/>
    </row>
    <row r="690">
      <c r="D690" s="13"/>
      <c r="I690" s="13"/>
    </row>
    <row r="691">
      <c r="D691" s="13"/>
      <c r="I691" s="13"/>
    </row>
    <row r="692">
      <c r="D692" s="13"/>
      <c r="I692" s="13"/>
    </row>
    <row r="693">
      <c r="D693" s="13"/>
      <c r="I693" s="13"/>
    </row>
    <row r="694">
      <c r="D694" s="13"/>
      <c r="I694" s="13"/>
    </row>
    <row r="695">
      <c r="D695" s="13"/>
      <c r="I695" s="13"/>
    </row>
    <row r="696">
      <c r="D696" s="13"/>
      <c r="I696" s="13"/>
    </row>
    <row r="697">
      <c r="D697" s="13"/>
      <c r="I697" s="13"/>
    </row>
    <row r="698">
      <c r="D698" s="13"/>
      <c r="I698" s="13"/>
    </row>
    <row r="699">
      <c r="D699" s="13"/>
      <c r="I699" s="13"/>
    </row>
    <row r="700">
      <c r="D700" s="13"/>
      <c r="I700" s="13"/>
    </row>
    <row r="701">
      <c r="D701" s="13"/>
      <c r="I701" s="13"/>
    </row>
    <row r="702">
      <c r="D702" s="13"/>
      <c r="I702" s="13"/>
    </row>
    <row r="703">
      <c r="D703" s="13"/>
      <c r="I703" s="13"/>
    </row>
    <row r="704">
      <c r="D704" s="13"/>
      <c r="I704" s="13"/>
    </row>
    <row r="705">
      <c r="D705" s="13"/>
      <c r="I705" s="13"/>
    </row>
    <row r="706">
      <c r="D706" s="13"/>
      <c r="I706" s="13"/>
    </row>
    <row r="707">
      <c r="D707" s="13"/>
      <c r="I707" s="13"/>
    </row>
    <row r="708">
      <c r="D708" s="13"/>
      <c r="I708" s="13"/>
    </row>
    <row r="709">
      <c r="D709" s="13"/>
      <c r="I709" s="13"/>
    </row>
    <row r="710">
      <c r="D710" s="13"/>
      <c r="I710" s="13"/>
    </row>
    <row r="711">
      <c r="D711" s="13"/>
      <c r="I711" s="13"/>
    </row>
    <row r="712">
      <c r="D712" s="13"/>
      <c r="I712" s="13"/>
    </row>
    <row r="713">
      <c r="D713" s="13"/>
      <c r="I713" s="13"/>
    </row>
    <row r="714">
      <c r="D714" s="13"/>
      <c r="I714" s="13"/>
    </row>
    <row r="715">
      <c r="D715" s="13"/>
      <c r="I715" s="13"/>
    </row>
    <row r="716">
      <c r="D716" s="13"/>
      <c r="I716" s="13"/>
    </row>
    <row r="717">
      <c r="D717" s="13"/>
      <c r="I717" s="13"/>
    </row>
    <row r="718">
      <c r="D718" s="13"/>
      <c r="I718" s="13"/>
    </row>
    <row r="719">
      <c r="D719" s="13"/>
      <c r="I719" s="13"/>
    </row>
    <row r="720">
      <c r="D720" s="13"/>
      <c r="I720" s="13"/>
    </row>
    <row r="721">
      <c r="D721" s="13"/>
      <c r="I721" s="13"/>
    </row>
    <row r="722">
      <c r="D722" s="13"/>
      <c r="I722" s="13"/>
    </row>
    <row r="723">
      <c r="D723" s="13"/>
      <c r="I723" s="13"/>
    </row>
    <row r="724">
      <c r="D724" s="13"/>
      <c r="I724" s="13"/>
    </row>
    <row r="725">
      <c r="D725" s="13"/>
      <c r="I725" s="13"/>
    </row>
    <row r="726">
      <c r="D726" s="13"/>
      <c r="I726" s="13"/>
    </row>
    <row r="727">
      <c r="D727" s="13"/>
      <c r="I727" s="13"/>
    </row>
    <row r="728">
      <c r="D728" s="13"/>
      <c r="I728" s="13"/>
    </row>
    <row r="729">
      <c r="D729" s="13"/>
      <c r="I729" s="13"/>
    </row>
    <row r="730">
      <c r="D730" s="13"/>
      <c r="I730" s="13"/>
    </row>
    <row r="731">
      <c r="D731" s="13"/>
      <c r="I731" s="13"/>
    </row>
    <row r="732">
      <c r="D732" s="13"/>
      <c r="I732" s="13"/>
    </row>
    <row r="733">
      <c r="D733" s="13"/>
      <c r="I733" s="13"/>
    </row>
    <row r="734">
      <c r="D734" s="13"/>
      <c r="I734" s="13"/>
    </row>
    <row r="735">
      <c r="D735" s="13"/>
      <c r="I735" s="13"/>
    </row>
    <row r="736">
      <c r="D736" s="13"/>
      <c r="I736" s="13"/>
    </row>
    <row r="737">
      <c r="D737" s="13"/>
      <c r="I737" s="13"/>
    </row>
    <row r="738">
      <c r="D738" s="13"/>
      <c r="I738" s="13"/>
    </row>
    <row r="739">
      <c r="D739" s="13"/>
      <c r="I739" s="13"/>
    </row>
    <row r="740">
      <c r="D740" s="13"/>
      <c r="I740" s="13"/>
    </row>
    <row r="741">
      <c r="D741" s="13"/>
      <c r="I741" s="13"/>
    </row>
    <row r="742">
      <c r="D742" s="13"/>
      <c r="I742" s="13"/>
    </row>
    <row r="743">
      <c r="D743" s="13"/>
      <c r="I743" s="13"/>
    </row>
    <row r="744">
      <c r="D744" s="13"/>
      <c r="I744" s="13"/>
    </row>
    <row r="745">
      <c r="D745" s="13"/>
      <c r="I745" s="13"/>
    </row>
    <row r="746">
      <c r="D746" s="13"/>
      <c r="I746" s="13"/>
    </row>
    <row r="747">
      <c r="D747" s="13"/>
      <c r="I747" s="13"/>
    </row>
    <row r="748">
      <c r="D748" s="13"/>
      <c r="I748" s="13"/>
    </row>
    <row r="749">
      <c r="D749" s="13"/>
      <c r="I749" s="13"/>
    </row>
    <row r="750">
      <c r="D750" s="13"/>
      <c r="I750" s="13"/>
    </row>
    <row r="751">
      <c r="D751" s="13"/>
      <c r="I751" s="13"/>
    </row>
    <row r="752">
      <c r="D752" s="13"/>
      <c r="I752" s="13"/>
    </row>
    <row r="753">
      <c r="D753" s="13"/>
      <c r="I753" s="13"/>
    </row>
    <row r="754">
      <c r="D754" s="13"/>
      <c r="I754" s="13"/>
    </row>
    <row r="755">
      <c r="D755" s="13"/>
      <c r="I755" s="13"/>
    </row>
    <row r="756">
      <c r="D756" s="13"/>
      <c r="I756" s="13"/>
    </row>
    <row r="757">
      <c r="D757" s="13"/>
      <c r="I757" s="13"/>
    </row>
    <row r="758">
      <c r="D758" s="13"/>
      <c r="I758" s="13"/>
    </row>
    <row r="759">
      <c r="D759" s="13"/>
      <c r="I759" s="13"/>
    </row>
    <row r="760">
      <c r="D760" s="13"/>
      <c r="I760" s="13"/>
    </row>
    <row r="761">
      <c r="D761" s="13"/>
      <c r="I761" s="13"/>
    </row>
    <row r="762">
      <c r="D762" s="13"/>
      <c r="I762" s="13"/>
    </row>
    <row r="763">
      <c r="D763" s="13"/>
      <c r="I763" s="13"/>
    </row>
    <row r="764">
      <c r="D764" s="13"/>
      <c r="I764" s="13"/>
    </row>
    <row r="765">
      <c r="D765" s="13"/>
      <c r="I765" s="13"/>
    </row>
    <row r="766">
      <c r="D766" s="13"/>
      <c r="I766" s="13"/>
    </row>
    <row r="767">
      <c r="D767" s="13"/>
      <c r="I767" s="13"/>
    </row>
    <row r="768">
      <c r="D768" s="13"/>
      <c r="I768" s="13"/>
    </row>
    <row r="769">
      <c r="D769" s="13"/>
      <c r="I769" s="13"/>
    </row>
    <row r="770">
      <c r="D770" s="13"/>
      <c r="I770" s="13"/>
    </row>
    <row r="771">
      <c r="D771" s="13"/>
      <c r="I771" s="13"/>
    </row>
    <row r="772">
      <c r="D772" s="13"/>
      <c r="I772" s="13"/>
    </row>
    <row r="773">
      <c r="D773" s="13"/>
      <c r="I773" s="13"/>
    </row>
    <row r="774">
      <c r="D774" s="13"/>
      <c r="I774" s="13"/>
    </row>
    <row r="775">
      <c r="D775" s="13"/>
      <c r="I775" s="13"/>
    </row>
    <row r="776">
      <c r="D776" s="13"/>
      <c r="I776" s="13"/>
    </row>
    <row r="777">
      <c r="D777" s="13"/>
      <c r="I777" s="13"/>
    </row>
    <row r="778">
      <c r="D778" s="13"/>
      <c r="I778" s="13"/>
    </row>
    <row r="779">
      <c r="D779" s="13"/>
      <c r="I779" s="13"/>
    </row>
    <row r="780">
      <c r="D780" s="13"/>
      <c r="I780" s="13"/>
    </row>
    <row r="781">
      <c r="D781" s="13"/>
      <c r="I781" s="13"/>
    </row>
    <row r="782">
      <c r="D782" s="13"/>
      <c r="I782" s="13"/>
    </row>
    <row r="783">
      <c r="D783" s="13"/>
      <c r="I783" s="13"/>
    </row>
    <row r="784">
      <c r="D784" s="13"/>
      <c r="I784" s="13"/>
    </row>
    <row r="785">
      <c r="D785" s="13"/>
      <c r="I785" s="13"/>
    </row>
    <row r="786">
      <c r="D786" s="13"/>
      <c r="I786" s="13"/>
    </row>
    <row r="787">
      <c r="D787" s="13"/>
      <c r="I787" s="13"/>
    </row>
    <row r="788">
      <c r="D788" s="13"/>
      <c r="I788" s="13"/>
    </row>
    <row r="789">
      <c r="D789" s="13"/>
      <c r="I789" s="13"/>
    </row>
    <row r="790">
      <c r="D790" s="13"/>
      <c r="I790" s="13"/>
    </row>
    <row r="791">
      <c r="D791" s="13"/>
      <c r="I791" s="13"/>
    </row>
    <row r="792">
      <c r="D792" s="13"/>
      <c r="I792" s="13"/>
    </row>
    <row r="793">
      <c r="D793" s="13"/>
      <c r="I793" s="13"/>
    </row>
    <row r="794">
      <c r="D794" s="13"/>
      <c r="I794" s="13"/>
    </row>
    <row r="795">
      <c r="D795" s="13"/>
      <c r="I795" s="13"/>
    </row>
    <row r="796">
      <c r="D796" s="13"/>
      <c r="I796" s="13"/>
    </row>
    <row r="797">
      <c r="D797" s="13"/>
      <c r="I797" s="13"/>
    </row>
    <row r="798">
      <c r="D798" s="13"/>
      <c r="I798" s="13"/>
    </row>
    <row r="799">
      <c r="D799" s="13"/>
      <c r="I799" s="13"/>
    </row>
    <row r="800">
      <c r="D800" s="13"/>
      <c r="I800" s="13"/>
    </row>
    <row r="801">
      <c r="D801" s="13"/>
      <c r="I801" s="13"/>
    </row>
    <row r="802">
      <c r="D802" s="13"/>
      <c r="I802" s="13"/>
    </row>
    <row r="803">
      <c r="D803" s="13"/>
      <c r="I803" s="13"/>
    </row>
    <row r="804">
      <c r="D804" s="13"/>
      <c r="I804" s="13"/>
    </row>
    <row r="805">
      <c r="D805" s="13"/>
      <c r="I805" s="13"/>
    </row>
    <row r="806">
      <c r="D806" s="13"/>
      <c r="I806" s="13"/>
    </row>
    <row r="807">
      <c r="D807" s="13"/>
      <c r="I807" s="13"/>
    </row>
    <row r="808">
      <c r="D808" s="13"/>
      <c r="I808" s="13"/>
    </row>
    <row r="809">
      <c r="D809" s="13"/>
      <c r="I809" s="13"/>
    </row>
    <row r="810">
      <c r="D810" s="13"/>
      <c r="I810" s="13"/>
    </row>
    <row r="811">
      <c r="D811" s="13"/>
      <c r="I811" s="13"/>
    </row>
    <row r="812">
      <c r="D812" s="13"/>
      <c r="I812" s="13"/>
    </row>
    <row r="813">
      <c r="D813" s="13"/>
      <c r="I813" s="13"/>
    </row>
    <row r="814">
      <c r="D814" s="13"/>
      <c r="I814" s="13"/>
    </row>
    <row r="815">
      <c r="D815" s="13"/>
      <c r="I815" s="13"/>
    </row>
    <row r="816">
      <c r="D816" s="13"/>
      <c r="I816" s="13"/>
    </row>
    <row r="817">
      <c r="D817" s="13"/>
      <c r="I817" s="13"/>
    </row>
    <row r="818">
      <c r="D818" s="13"/>
      <c r="I818" s="13"/>
    </row>
    <row r="819">
      <c r="D819" s="13"/>
      <c r="I819" s="13"/>
    </row>
    <row r="820">
      <c r="D820" s="13"/>
      <c r="I820" s="13"/>
    </row>
    <row r="821">
      <c r="D821" s="13"/>
      <c r="I821" s="13"/>
    </row>
    <row r="822">
      <c r="D822" s="13"/>
      <c r="I822" s="13"/>
    </row>
    <row r="823">
      <c r="D823" s="13"/>
      <c r="I823" s="13"/>
    </row>
    <row r="824">
      <c r="D824" s="13"/>
      <c r="I824" s="13"/>
    </row>
    <row r="825">
      <c r="D825" s="13"/>
      <c r="I825" s="13"/>
    </row>
    <row r="826">
      <c r="D826" s="13"/>
      <c r="I826" s="13"/>
    </row>
    <row r="827">
      <c r="D827" s="13"/>
      <c r="I827" s="13"/>
    </row>
    <row r="828">
      <c r="D828" s="13"/>
      <c r="I828" s="13"/>
    </row>
    <row r="829">
      <c r="D829" s="13"/>
      <c r="I829" s="13"/>
    </row>
    <row r="830">
      <c r="D830" s="13"/>
      <c r="I830" s="13"/>
    </row>
    <row r="831">
      <c r="D831" s="13"/>
      <c r="I831" s="13"/>
    </row>
    <row r="832">
      <c r="D832" s="13"/>
      <c r="I832" s="13"/>
    </row>
    <row r="833">
      <c r="D833" s="13"/>
      <c r="I833" s="13"/>
    </row>
    <row r="834">
      <c r="D834" s="13"/>
      <c r="I834" s="13"/>
    </row>
    <row r="835">
      <c r="D835" s="13"/>
      <c r="I835" s="13"/>
    </row>
    <row r="836">
      <c r="D836" s="13"/>
      <c r="I836" s="13"/>
    </row>
    <row r="837">
      <c r="D837" s="13"/>
      <c r="I837" s="13"/>
    </row>
    <row r="838">
      <c r="D838" s="13"/>
      <c r="I838" s="13"/>
    </row>
    <row r="839">
      <c r="D839" s="13"/>
      <c r="I839" s="13"/>
    </row>
    <row r="840">
      <c r="D840" s="13"/>
      <c r="I840" s="13"/>
    </row>
    <row r="841">
      <c r="D841" s="13"/>
      <c r="I841" s="13"/>
    </row>
    <row r="842">
      <c r="D842" s="13"/>
      <c r="I842" s="13"/>
    </row>
    <row r="843">
      <c r="D843" s="13"/>
      <c r="I843" s="13"/>
    </row>
    <row r="844">
      <c r="D844" s="13"/>
      <c r="I844" s="13"/>
    </row>
    <row r="845">
      <c r="D845" s="13"/>
      <c r="I845" s="13"/>
    </row>
    <row r="846">
      <c r="D846" s="13"/>
      <c r="I846" s="13"/>
    </row>
    <row r="847">
      <c r="D847" s="13"/>
      <c r="I847" s="13"/>
    </row>
    <row r="848">
      <c r="D848" s="13"/>
      <c r="I848" s="13"/>
    </row>
    <row r="849">
      <c r="D849" s="13"/>
      <c r="I849" s="13"/>
    </row>
    <row r="850">
      <c r="D850" s="13"/>
      <c r="I850" s="13"/>
    </row>
    <row r="851">
      <c r="D851" s="13"/>
      <c r="I851" s="13"/>
    </row>
    <row r="852">
      <c r="D852" s="13"/>
      <c r="I852" s="13"/>
    </row>
    <row r="853">
      <c r="D853" s="13"/>
      <c r="I853" s="13"/>
    </row>
    <row r="854">
      <c r="D854" s="13"/>
      <c r="I854" s="13"/>
    </row>
    <row r="855">
      <c r="D855" s="13"/>
      <c r="I855" s="13"/>
    </row>
    <row r="856">
      <c r="D856" s="13"/>
      <c r="I856" s="13"/>
    </row>
    <row r="857">
      <c r="D857" s="13"/>
      <c r="I857" s="13"/>
    </row>
    <row r="858">
      <c r="D858" s="13"/>
      <c r="I858" s="13"/>
    </row>
    <row r="859">
      <c r="D859" s="13"/>
      <c r="I859" s="13"/>
    </row>
    <row r="860">
      <c r="D860" s="13"/>
      <c r="I860" s="13"/>
    </row>
    <row r="861">
      <c r="D861" s="13"/>
      <c r="I861" s="13"/>
    </row>
    <row r="862">
      <c r="D862" s="13"/>
      <c r="I862" s="13"/>
    </row>
    <row r="863">
      <c r="D863" s="13"/>
      <c r="I863" s="13"/>
    </row>
    <row r="864">
      <c r="D864" s="13"/>
      <c r="I864" s="13"/>
    </row>
    <row r="865">
      <c r="D865" s="13"/>
      <c r="I865" s="13"/>
    </row>
    <row r="866">
      <c r="D866" s="13"/>
      <c r="I866" s="13"/>
    </row>
    <row r="867">
      <c r="D867" s="13"/>
      <c r="I867" s="13"/>
    </row>
    <row r="868">
      <c r="D868" s="13"/>
      <c r="I868" s="13"/>
    </row>
    <row r="869">
      <c r="D869" s="13"/>
      <c r="I869" s="13"/>
    </row>
    <row r="870">
      <c r="D870" s="13"/>
      <c r="I870" s="13"/>
    </row>
    <row r="871">
      <c r="D871" s="13"/>
      <c r="I871" s="13"/>
    </row>
    <row r="872">
      <c r="D872" s="13"/>
      <c r="I872" s="13"/>
    </row>
    <row r="873">
      <c r="D873" s="13"/>
      <c r="I873" s="13"/>
    </row>
    <row r="874">
      <c r="D874" s="13"/>
      <c r="I874" s="13"/>
    </row>
    <row r="875">
      <c r="D875" s="13"/>
      <c r="I875" s="13"/>
    </row>
    <row r="876">
      <c r="D876" s="13"/>
      <c r="I876" s="13"/>
    </row>
    <row r="877">
      <c r="D877" s="13"/>
      <c r="I877" s="13"/>
    </row>
    <row r="878">
      <c r="D878" s="13"/>
      <c r="I878" s="13"/>
    </row>
    <row r="879">
      <c r="D879" s="13"/>
      <c r="I879" s="13"/>
    </row>
    <row r="880">
      <c r="D880" s="13"/>
      <c r="I880" s="13"/>
    </row>
    <row r="881">
      <c r="D881" s="13"/>
      <c r="I881" s="13"/>
    </row>
    <row r="882">
      <c r="D882" s="13"/>
      <c r="I882" s="13"/>
    </row>
    <row r="883">
      <c r="D883" s="13"/>
      <c r="I883" s="13"/>
    </row>
    <row r="884">
      <c r="D884" s="13"/>
      <c r="I884" s="13"/>
    </row>
    <row r="885">
      <c r="D885" s="13"/>
      <c r="I885" s="13"/>
    </row>
    <row r="886">
      <c r="D886" s="13"/>
      <c r="I886" s="13"/>
    </row>
    <row r="887">
      <c r="D887" s="13"/>
      <c r="I887" s="13"/>
    </row>
    <row r="888">
      <c r="D888" s="13"/>
      <c r="I888" s="13"/>
    </row>
    <row r="889">
      <c r="D889" s="13"/>
      <c r="I889" s="13"/>
    </row>
    <row r="890">
      <c r="D890" s="13"/>
      <c r="I890" s="13"/>
    </row>
    <row r="891">
      <c r="D891" s="13"/>
      <c r="I891" s="13"/>
    </row>
    <row r="892">
      <c r="D892" s="13"/>
      <c r="I892" s="13"/>
    </row>
    <row r="893">
      <c r="D893" s="13"/>
      <c r="I893" s="13"/>
    </row>
    <row r="894">
      <c r="D894" s="13"/>
      <c r="I894" s="13"/>
    </row>
    <row r="895">
      <c r="D895" s="13"/>
      <c r="I895" s="13"/>
    </row>
    <row r="896">
      <c r="D896" s="13"/>
      <c r="I896" s="13"/>
    </row>
    <row r="897">
      <c r="D897" s="13"/>
      <c r="I897" s="13"/>
    </row>
    <row r="898">
      <c r="D898" s="13"/>
      <c r="I898" s="13"/>
    </row>
    <row r="899">
      <c r="D899" s="13"/>
      <c r="I899" s="13"/>
    </row>
    <row r="900">
      <c r="D900" s="13"/>
      <c r="I900" s="13"/>
    </row>
    <row r="901">
      <c r="D901" s="13"/>
      <c r="I901" s="13"/>
    </row>
    <row r="902">
      <c r="D902" s="13"/>
      <c r="I902" s="13"/>
    </row>
    <row r="903">
      <c r="D903" s="13"/>
      <c r="I903" s="13"/>
    </row>
    <row r="904">
      <c r="D904" s="13"/>
      <c r="I904" s="13"/>
    </row>
    <row r="905">
      <c r="D905" s="13"/>
      <c r="I905" s="13"/>
    </row>
    <row r="906">
      <c r="D906" s="13"/>
      <c r="I906" s="13"/>
    </row>
    <row r="907">
      <c r="D907" s="13"/>
      <c r="I907" s="13"/>
    </row>
    <row r="908">
      <c r="D908" s="13"/>
      <c r="I908" s="13"/>
    </row>
    <row r="909">
      <c r="D909" s="13"/>
      <c r="I909" s="13"/>
    </row>
    <row r="910">
      <c r="D910" s="13"/>
      <c r="I910" s="13"/>
    </row>
    <row r="911">
      <c r="D911" s="13"/>
      <c r="I911" s="13"/>
    </row>
    <row r="912">
      <c r="D912" s="13"/>
      <c r="I912" s="13"/>
    </row>
    <row r="913">
      <c r="D913" s="13"/>
      <c r="I913" s="13"/>
    </row>
    <row r="914">
      <c r="D914" s="13"/>
      <c r="I914" s="13"/>
    </row>
    <row r="915">
      <c r="D915" s="13"/>
      <c r="I915" s="13"/>
    </row>
    <row r="916">
      <c r="D916" s="13"/>
      <c r="I916" s="13"/>
    </row>
    <row r="917">
      <c r="D917" s="13"/>
      <c r="I917" s="13"/>
    </row>
    <row r="918">
      <c r="D918" s="13"/>
      <c r="I918" s="13"/>
    </row>
    <row r="919">
      <c r="D919" s="13"/>
      <c r="I919" s="13"/>
    </row>
    <row r="920">
      <c r="D920" s="13"/>
      <c r="I920" s="13"/>
    </row>
    <row r="921">
      <c r="D921" s="13"/>
      <c r="I921" s="13"/>
    </row>
    <row r="922">
      <c r="D922" s="13"/>
      <c r="I922" s="13"/>
    </row>
    <row r="923">
      <c r="D923" s="13"/>
      <c r="I923" s="13"/>
    </row>
    <row r="924">
      <c r="D924" s="13"/>
      <c r="I924" s="13"/>
    </row>
    <row r="925">
      <c r="D925" s="13"/>
      <c r="I925" s="13"/>
    </row>
    <row r="926">
      <c r="D926" s="13"/>
      <c r="I926" s="13"/>
    </row>
    <row r="927">
      <c r="D927" s="13"/>
      <c r="I927" s="13"/>
    </row>
    <row r="928">
      <c r="D928" s="13"/>
      <c r="I928" s="13"/>
    </row>
    <row r="929">
      <c r="D929" s="13"/>
      <c r="I929" s="13"/>
    </row>
    <row r="930">
      <c r="D930" s="13"/>
      <c r="I930" s="13"/>
    </row>
    <row r="931">
      <c r="D931" s="13"/>
      <c r="I931" s="13"/>
    </row>
    <row r="932">
      <c r="D932" s="13"/>
      <c r="I932" s="13"/>
    </row>
    <row r="933">
      <c r="D933" s="13"/>
      <c r="I933" s="13"/>
    </row>
    <row r="934">
      <c r="D934" s="13"/>
      <c r="I934" s="13"/>
    </row>
    <row r="935">
      <c r="D935" s="13"/>
      <c r="I935" s="13"/>
    </row>
    <row r="936">
      <c r="D936" s="13"/>
      <c r="I936" s="13"/>
    </row>
    <row r="937">
      <c r="D937" s="13"/>
      <c r="I937" s="13"/>
    </row>
    <row r="938">
      <c r="D938" s="13"/>
      <c r="I938" s="13"/>
    </row>
    <row r="939">
      <c r="D939" s="13"/>
      <c r="I939" s="13"/>
    </row>
    <row r="940">
      <c r="D940" s="13"/>
      <c r="I940" s="13"/>
    </row>
    <row r="941">
      <c r="D941" s="13"/>
      <c r="I941" s="13"/>
    </row>
    <row r="942">
      <c r="D942" s="13"/>
      <c r="I942" s="13"/>
    </row>
    <row r="943">
      <c r="D943" s="13"/>
      <c r="I943" s="13"/>
    </row>
    <row r="944">
      <c r="D944" s="13"/>
      <c r="I944" s="13"/>
    </row>
    <row r="945">
      <c r="D945" s="13"/>
      <c r="I945" s="13"/>
    </row>
    <row r="946">
      <c r="D946" s="13"/>
      <c r="I946" s="13"/>
    </row>
    <row r="947">
      <c r="D947" s="13"/>
      <c r="I947" s="13"/>
    </row>
    <row r="948">
      <c r="D948" s="13"/>
      <c r="I948" s="13"/>
    </row>
    <row r="949">
      <c r="D949" s="13"/>
      <c r="I949" s="13"/>
    </row>
    <row r="950">
      <c r="D950" s="13"/>
      <c r="I950" s="13"/>
    </row>
    <row r="951">
      <c r="D951" s="13"/>
      <c r="I951" s="13"/>
    </row>
    <row r="952">
      <c r="D952" s="13"/>
      <c r="I952" s="13"/>
    </row>
    <row r="953">
      <c r="D953" s="13"/>
      <c r="I953" s="13"/>
    </row>
    <row r="954">
      <c r="D954" s="13"/>
      <c r="I954" s="13"/>
    </row>
    <row r="955">
      <c r="D955" s="13"/>
      <c r="I955" s="13"/>
    </row>
    <row r="956">
      <c r="D956" s="13"/>
      <c r="I956" s="13"/>
    </row>
    <row r="957">
      <c r="D957" s="13"/>
      <c r="I957" s="13"/>
    </row>
    <row r="958">
      <c r="D958" s="13"/>
      <c r="I958" s="13"/>
    </row>
    <row r="959">
      <c r="D959" s="13"/>
      <c r="I959" s="13"/>
    </row>
    <row r="960">
      <c r="D960" s="13"/>
      <c r="I960" s="13"/>
    </row>
    <row r="961">
      <c r="D961" s="13"/>
      <c r="I961" s="13"/>
    </row>
    <row r="962">
      <c r="D962" s="13"/>
      <c r="I962" s="13"/>
    </row>
    <row r="963">
      <c r="D963" s="13"/>
      <c r="I963" s="13"/>
    </row>
    <row r="964">
      <c r="D964" s="13"/>
      <c r="I964" s="13"/>
    </row>
    <row r="965">
      <c r="D965" s="13"/>
      <c r="I965" s="13"/>
    </row>
    <row r="966">
      <c r="D966" s="13"/>
      <c r="I966" s="13"/>
    </row>
    <row r="967">
      <c r="D967" s="13"/>
      <c r="I967" s="13"/>
    </row>
    <row r="968">
      <c r="D968" s="13"/>
      <c r="I968" s="13"/>
    </row>
    <row r="969">
      <c r="D969" s="13"/>
      <c r="I969" s="13"/>
    </row>
    <row r="970">
      <c r="D970" s="13"/>
      <c r="I970" s="13"/>
    </row>
    <row r="971">
      <c r="D971" s="13"/>
      <c r="I971" s="13"/>
    </row>
    <row r="972">
      <c r="D972" s="13"/>
      <c r="I972" s="13"/>
    </row>
    <row r="973">
      <c r="D973" s="13"/>
      <c r="I973" s="13"/>
    </row>
    <row r="974">
      <c r="D974" s="13"/>
      <c r="I974" s="13"/>
    </row>
    <row r="975">
      <c r="D975" s="13"/>
      <c r="I975" s="13"/>
    </row>
    <row r="976">
      <c r="D976" s="13"/>
      <c r="I976" s="13"/>
    </row>
    <row r="977">
      <c r="D977" s="13"/>
      <c r="I977" s="13"/>
    </row>
    <row r="978">
      <c r="D978" s="13"/>
      <c r="I978" s="13"/>
    </row>
    <row r="979">
      <c r="D979" s="13"/>
      <c r="I979" s="13"/>
    </row>
    <row r="980">
      <c r="D980" s="13"/>
      <c r="I980" s="13"/>
    </row>
    <row r="981">
      <c r="D981" s="13"/>
      <c r="I981" s="13"/>
    </row>
    <row r="982">
      <c r="D982" s="13"/>
      <c r="I982" s="13"/>
    </row>
    <row r="983">
      <c r="D983" s="13"/>
      <c r="I983" s="13"/>
    </row>
    <row r="984">
      <c r="D984" s="13"/>
      <c r="I984" s="13"/>
    </row>
    <row r="985">
      <c r="D985" s="13"/>
      <c r="I985" s="13"/>
    </row>
    <row r="986">
      <c r="D986" s="13"/>
      <c r="I986" s="13"/>
    </row>
    <row r="987">
      <c r="D987" s="13"/>
      <c r="I987" s="13"/>
    </row>
    <row r="988">
      <c r="D988" s="13"/>
      <c r="I988" s="13"/>
    </row>
    <row r="989">
      <c r="D989" s="13"/>
      <c r="I989" s="13"/>
    </row>
    <row r="990">
      <c r="D990" s="13"/>
      <c r="I990" s="13"/>
    </row>
    <row r="991">
      <c r="D991" s="13"/>
      <c r="I991" s="13"/>
    </row>
    <row r="992">
      <c r="D992" s="13"/>
      <c r="I992" s="13"/>
    </row>
    <row r="993">
      <c r="D993" s="13"/>
      <c r="I993" s="13"/>
    </row>
    <row r="994">
      <c r="D994" s="13"/>
      <c r="I994" s="13"/>
    </row>
    <row r="995">
      <c r="D995" s="13"/>
      <c r="I995" s="13"/>
    </row>
    <row r="996">
      <c r="D996" s="13"/>
      <c r="I996" s="13"/>
    </row>
    <row r="997">
      <c r="D997" s="13"/>
      <c r="I997" s="13"/>
    </row>
    <row r="998">
      <c r="D998" s="13"/>
      <c r="I998" s="13"/>
    </row>
    <row r="999">
      <c r="D999" s="13"/>
      <c r="I999" s="13"/>
    </row>
    <row r="1000">
      <c r="D1000" s="13"/>
      <c r="I1000" s="13"/>
    </row>
    <row r="1001">
      <c r="D1001" s="13"/>
      <c r="I1001" s="13"/>
    </row>
    <row r="1002">
      <c r="D1002" s="13"/>
      <c r="I1002" s="13"/>
    </row>
    <row r="1003">
      <c r="D1003" s="13"/>
      <c r="I1003" s="13"/>
    </row>
    <row r="1004">
      <c r="D1004" s="13"/>
      <c r="I1004" s="13"/>
    </row>
    <row r="1005">
      <c r="D1005" s="13"/>
      <c r="I1005" s="13"/>
    </row>
    <row r="1006">
      <c r="D1006" s="13"/>
      <c r="I1006" s="13"/>
    </row>
    <row r="1007">
      <c r="D1007" s="13"/>
      <c r="I1007" s="13"/>
    </row>
  </sheetData>
  <mergeCells count="1">
    <mergeCell ref="D24:K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6.88"/>
  </cols>
  <sheetData>
    <row r="1">
      <c r="A1" s="1" t="s">
        <v>0</v>
      </c>
      <c r="B1" s="1" t="s">
        <v>2</v>
      </c>
      <c r="C1" s="3" t="s">
        <v>3</v>
      </c>
      <c r="D1" s="11" t="s">
        <v>4</v>
      </c>
      <c r="E1" s="1" t="s">
        <v>5</v>
      </c>
      <c r="F1" s="11" t="s">
        <v>6</v>
      </c>
      <c r="J1" s="48" t="s">
        <v>207</v>
      </c>
    </row>
    <row r="2">
      <c r="A2" s="15" t="s">
        <v>8</v>
      </c>
      <c r="B2" s="1" t="s">
        <v>250</v>
      </c>
      <c r="C2" s="1" t="s">
        <v>251</v>
      </c>
      <c r="D2" s="11">
        <v>50000.0</v>
      </c>
      <c r="F2" s="11"/>
      <c r="J2" s="58">
        <v>0.2</v>
      </c>
    </row>
    <row r="3">
      <c r="A3" s="15" t="s">
        <v>14</v>
      </c>
      <c r="D3" s="11"/>
      <c r="E3" s="67" t="s">
        <v>253</v>
      </c>
      <c r="F3" s="68">
        <v>10000.0</v>
      </c>
      <c r="J3" s="58"/>
    </row>
    <row r="4">
      <c r="A4" s="69" t="s">
        <v>14</v>
      </c>
      <c r="B4" s="70"/>
      <c r="C4" s="70"/>
      <c r="D4" s="68"/>
      <c r="E4" s="70" t="s">
        <v>255</v>
      </c>
      <c r="F4" s="71">
        <v>10000.0</v>
      </c>
      <c r="G4" s="72"/>
      <c r="H4" s="70"/>
      <c r="I4" s="70"/>
      <c r="J4" s="73">
        <v>0.32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74" t="s">
        <v>8</v>
      </c>
      <c r="B5" s="70" t="s">
        <v>256</v>
      </c>
      <c r="C5" s="70" t="s">
        <v>251</v>
      </c>
      <c r="D5" s="68">
        <v>100000.0</v>
      </c>
      <c r="E5" s="72" t="s">
        <v>172</v>
      </c>
      <c r="F5" s="71">
        <v>32000.0</v>
      </c>
      <c r="G5" s="70"/>
      <c r="H5" s="70"/>
      <c r="I5" s="70"/>
      <c r="J5" s="75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76" t="s">
        <v>8</v>
      </c>
      <c r="B6" s="70" t="s">
        <v>257</v>
      </c>
      <c r="C6" s="70" t="s">
        <v>251</v>
      </c>
      <c r="D6" s="68">
        <v>50000.0</v>
      </c>
      <c r="E6" s="72" t="s">
        <v>125</v>
      </c>
      <c r="F6" s="77">
        <v>32000.0</v>
      </c>
      <c r="G6" s="70"/>
      <c r="H6" s="70"/>
      <c r="I6" s="70"/>
      <c r="J6" s="73">
        <v>0.3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76" t="s">
        <v>8</v>
      </c>
      <c r="B7" s="70" t="s">
        <v>258</v>
      </c>
      <c r="C7" s="70" t="s">
        <v>251</v>
      </c>
      <c r="D7" s="68">
        <v>100000.0</v>
      </c>
      <c r="E7" s="72" t="s">
        <v>259</v>
      </c>
      <c r="F7" s="77">
        <v>32000.0</v>
      </c>
      <c r="G7" s="70"/>
      <c r="H7" s="70"/>
      <c r="I7" s="70"/>
      <c r="J7" s="78">
        <v>0.15</v>
      </c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76" t="s">
        <v>8</v>
      </c>
      <c r="B8" s="70" t="s">
        <v>260</v>
      </c>
      <c r="C8" s="70" t="s">
        <v>251</v>
      </c>
      <c r="D8" s="68">
        <v>100000.0</v>
      </c>
      <c r="E8" s="72" t="s">
        <v>220</v>
      </c>
      <c r="F8" s="77">
        <v>32000.0</v>
      </c>
      <c r="G8" s="70"/>
      <c r="H8" s="70"/>
      <c r="I8" s="70"/>
      <c r="J8" s="79">
        <v>15.0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69" t="s">
        <v>14</v>
      </c>
      <c r="B9" s="70"/>
      <c r="C9" s="70"/>
      <c r="D9" s="80"/>
      <c r="E9" s="72" t="s">
        <v>73</v>
      </c>
      <c r="F9" s="77">
        <v>15000.0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69" t="s">
        <v>14</v>
      </c>
      <c r="D10" s="14"/>
      <c r="E10" s="1" t="s">
        <v>261</v>
      </c>
      <c r="F10" s="11">
        <v>47000.0</v>
      </c>
    </row>
    <row r="11">
      <c r="A11" s="69" t="s">
        <v>14</v>
      </c>
      <c r="B11" s="70"/>
      <c r="C11" s="70"/>
      <c r="D11" s="68"/>
      <c r="E11" s="1" t="s">
        <v>262</v>
      </c>
      <c r="F11" s="11">
        <v>47000.0</v>
      </c>
    </row>
    <row r="12">
      <c r="A12" s="69" t="s">
        <v>14</v>
      </c>
      <c r="B12" s="70"/>
      <c r="C12" s="70"/>
      <c r="D12" s="68"/>
      <c r="E12" s="1" t="s">
        <v>263</v>
      </c>
      <c r="F12" s="11">
        <v>25000.0</v>
      </c>
    </row>
    <row r="13">
      <c r="A13" s="69" t="s">
        <v>14</v>
      </c>
      <c r="B13" s="70"/>
      <c r="C13" s="70"/>
      <c r="D13" s="68"/>
      <c r="E13" s="1" t="s">
        <v>264</v>
      </c>
      <c r="F13" s="11">
        <v>22000.0</v>
      </c>
    </row>
    <row r="14">
      <c r="A14" s="69" t="s">
        <v>14</v>
      </c>
      <c r="B14" s="70"/>
      <c r="C14" s="70"/>
      <c r="D14" s="80"/>
      <c r="E14" s="1" t="s">
        <v>265</v>
      </c>
      <c r="F14" s="11">
        <v>22000.0</v>
      </c>
    </row>
    <row r="15">
      <c r="A15" s="69" t="s">
        <v>14</v>
      </c>
      <c r="D15" s="14"/>
      <c r="E15" s="1" t="s">
        <v>224</v>
      </c>
      <c r="F15" s="11">
        <v>40000.0</v>
      </c>
    </row>
    <row r="16">
      <c r="A16" s="69" t="s">
        <v>14</v>
      </c>
      <c r="D16" s="14"/>
      <c r="E16" s="1" t="s">
        <v>266</v>
      </c>
      <c r="F16" s="11">
        <v>20000.0</v>
      </c>
    </row>
    <row r="17">
      <c r="D17" s="14"/>
      <c r="F17" s="14"/>
    </row>
    <row r="18">
      <c r="D18" s="14"/>
      <c r="F18" s="14"/>
    </row>
    <row r="19">
      <c r="D19" s="14"/>
      <c r="F19" s="14"/>
    </row>
    <row r="20">
      <c r="D20" s="14"/>
      <c r="F20" s="14"/>
      <c r="H20" s="15" t="s">
        <v>26</v>
      </c>
      <c r="J20" s="1" t="s">
        <v>225</v>
      </c>
    </row>
    <row r="21">
      <c r="D21" s="14">
        <f>SUM(D2:D18)</f>
        <v>400000</v>
      </c>
      <c r="F21" s="14">
        <f>SUM(F2:F18)</f>
        <v>386000</v>
      </c>
      <c r="H21" s="18">
        <f>F21/D21</f>
        <v>0.965</v>
      </c>
      <c r="J21" s="17">
        <f>(D21)*5/100</f>
        <v>20000</v>
      </c>
    </row>
    <row r="22">
      <c r="D22" s="14"/>
      <c r="F22" s="14"/>
      <c r="J22" s="17">
        <f t="shared" ref="J22:J23" si="1">J21</f>
        <v>20000</v>
      </c>
    </row>
    <row r="23">
      <c r="D23" s="14"/>
      <c r="F23" s="14"/>
      <c r="J23" s="17">
        <f t="shared" si="1"/>
        <v>20000</v>
      </c>
    </row>
    <row r="24">
      <c r="D24" s="22" t="s">
        <v>41</v>
      </c>
      <c r="E24" s="23"/>
      <c r="F24" s="23"/>
      <c r="G24" s="23"/>
      <c r="H24" s="23"/>
      <c r="I24" s="23"/>
      <c r="J24" s="23"/>
      <c r="K24" s="24"/>
    </row>
    <row r="25">
      <c r="D25" s="27"/>
      <c r="E25" s="28"/>
      <c r="F25" s="28"/>
      <c r="G25" s="28"/>
      <c r="H25" s="28"/>
      <c r="I25" s="28"/>
      <c r="J25" s="28"/>
      <c r="K25" s="29"/>
    </row>
    <row r="26">
      <c r="D26" s="3"/>
      <c r="E26" s="1"/>
      <c r="F26" s="1"/>
      <c r="H26" s="1"/>
      <c r="I26" s="3"/>
    </row>
    <row r="27">
      <c r="D27" s="3"/>
      <c r="E27" s="1"/>
      <c r="F27" s="1"/>
      <c r="H27" s="1"/>
      <c r="I27" s="3"/>
    </row>
    <row r="28">
      <c r="D28" s="62" t="s">
        <v>180</v>
      </c>
      <c r="E28" s="63" t="s">
        <v>48</v>
      </c>
      <c r="F28" s="63" t="s">
        <v>50</v>
      </c>
      <c r="G28" s="64"/>
      <c r="H28" s="63" t="s">
        <v>53</v>
      </c>
      <c r="I28" s="62" t="s">
        <v>55</v>
      </c>
      <c r="J28" s="21"/>
      <c r="K28" s="21"/>
      <c r="L28" s="21"/>
    </row>
    <row r="29">
      <c r="D29" s="3">
        <f>D2</f>
        <v>50000</v>
      </c>
      <c r="F29" s="1">
        <v>13.0</v>
      </c>
      <c r="H29" s="17">
        <f t="shared" ref="H29:H33" si="2">D29*E29/100</f>
        <v>0</v>
      </c>
      <c r="I29" s="13">
        <f t="shared" ref="I29:I33" si="3">H29*F29+D29</f>
        <v>50000</v>
      </c>
    </row>
    <row r="30">
      <c r="D30" s="13">
        <f t="shared" ref="D30:D33" si="4">D5</f>
        <v>100000</v>
      </c>
      <c r="F30" s="1">
        <v>9.0</v>
      </c>
      <c r="H30" s="17">
        <f t="shared" si="2"/>
        <v>0</v>
      </c>
      <c r="I30" s="13">
        <f t="shared" si="3"/>
        <v>100000</v>
      </c>
    </row>
    <row r="31">
      <c r="D31" s="13">
        <f t="shared" si="4"/>
        <v>50000</v>
      </c>
      <c r="F31" s="1">
        <v>9.0</v>
      </c>
      <c r="H31" s="17">
        <f t="shared" si="2"/>
        <v>0</v>
      </c>
      <c r="I31" s="13">
        <f t="shared" si="3"/>
        <v>50000</v>
      </c>
    </row>
    <row r="32">
      <c r="D32" s="13">
        <f t="shared" si="4"/>
        <v>100000</v>
      </c>
      <c r="F32" s="1">
        <v>15.0</v>
      </c>
      <c r="H32" s="17">
        <f t="shared" si="2"/>
        <v>0</v>
      </c>
      <c r="I32" s="13">
        <f t="shared" si="3"/>
        <v>100000</v>
      </c>
    </row>
    <row r="33">
      <c r="D33" s="13">
        <f t="shared" si="4"/>
        <v>100000</v>
      </c>
      <c r="F33" s="1">
        <v>15.0</v>
      </c>
      <c r="H33" s="17">
        <f t="shared" si="2"/>
        <v>0</v>
      </c>
      <c r="I33" s="13">
        <f t="shared" si="3"/>
        <v>100000</v>
      </c>
    </row>
    <row r="34">
      <c r="D34" s="13"/>
      <c r="I34" s="12">
        <f>SUM(I29:I33)</f>
        <v>400000</v>
      </c>
    </row>
    <row r="35">
      <c r="D35" s="13"/>
    </row>
    <row r="36">
      <c r="D36" s="13"/>
      <c r="H36" s="39" t="s">
        <v>62</v>
      </c>
      <c r="I36" s="19">
        <f>F21</f>
        <v>386000</v>
      </c>
    </row>
    <row r="37">
      <c r="D37" s="13"/>
    </row>
    <row r="38">
      <c r="D38" s="10"/>
      <c r="E38" s="10"/>
      <c r="F38" s="10"/>
      <c r="G38" s="10"/>
      <c r="H38" s="39" t="s">
        <v>72</v>
      </c>
      <c r="I38" s="46">
        <f>I34-I36</f>
        <v>14000</v>
      </c>
      <c r="K38" s="47" t="s">
        <v>69</v>
      </c>
    </row>
    <row r="39">
      <c r="D39" s="10"/>
      <c r="E39" s="10"/>
      <c r="F39" s="10"/>
      <c r="G39" s="10"/>
      <c r="K39" s="12">
        <f>I38/3</f>
        <v>4666.666667</v>
      </c>
      <c r="L39" s="15" t="s">
        <v>79</v>
      </c>
    </row>
    <row r="40">
      <c r="D40" s="13"/>
      <c r="K40" s="12">
        <f t="shared" ref="K40:K41" si="5">K39</f>
        <v>4666.666667</v>
      </c>
      <c r="L40" s="15" t="s">
        <v>82</v>
      </c>
    </row>
    <row r="41">
      <c r="D41" s="13"/>
      <c r="K41" s="12">
        <f t="shared" si="5"/>
        <v>4666.666667</v>
      </c>
      <c r="L41" s="15" t="s">
        <v>84</v>
      </c>
    </row>
    <row r="42">
      <c r="D42" s="13"/>
    </row>
    <row r="43">
      <c r="D43" s="13"/>
      <c r="I43" s="13"/>
    </row>
    <row r="44">
      <c r="D44" s="14"/>
      <c r="F44" s="14"/>
    </row>
    <row r="45">
      <c r="D45" s="14"/>
      <c r="F45" s="14"/>
    </row>
    <row r="46">
      <c r="D46" s="14"/>
      <c r="F46" s="14"/>
    </row>
    <row r="47">
      <c r="D47" s="14"/>
      <c r="F47" s="14"/>
    </row>
    <row r="48">
      <c r="D48" s="14"/>
      <c r="F48" s="14"/>
    </row>
    <row r="49">
      <c r="D49" s="14"/>
      <c r="F49" s="14"/>
    </row>
    <row r="50">
      <c r="D50" s="14"/>
      <c r="F50" s="14"/>
    </row>
    <row r="51">
      <c r="D51" s="14"/>
      <c r="F51" s="14"/>
    </row>
    <row r="52">
      <c r="D52" s="14"/>
      <c r="F52" s="14"/>
    </row>
    <row r="53">
      <c r="D53" s="14"/>
      <c r="F53" s="14"/>
    </row>
    <row r="54">
      <c r="D54" s="14"/>
      <c r="F54" s="14"/>
    </row>
    <row r="55">
      <c r="D55" s="14"/>
      <c r="F55" s="14"/>
    </row>
    <row r="56">
      <c r="D56" s="14"/>
      <c r="F56" s="14"/>
    </row>
    <row r="57">
      <c r="D57" s="14"/>
      <c r="F57" s="14"/>
    </row>
    <row r="58">
      <c r="D58" s="14"/>
      <c r="F58" s="14"/>
    </row>
    <row r="59">
      <c r="D59" s="14"/>
      <c r="F59" s="14"/>
    </row>
    <row r="60">
      <c r="D60" s="14"/>
      <c r="F60" s="14"/>
    </row>
    <row r="61">
      <c r="D61" s="14"/>
      <c r="F61" s="14"/>
    </row>
    <row r="62">
      <c r="D62" s="14"/>
      <c r="F62" s="14"/>
    </row>
    <row r="63">
      <c r="D63" s="14"/>
      <c r="F63" s="14"/>
    </row>
    <row r="64">
      <c r="D64" s="14"/>
      <c r="F64" s="14"/>
    </row>
    <row r="65">
      <c r="D65" s="14"/>
      <c r="F65" s="14"/>
    </row>
    <row r="66">
      <c r="D66" s="14"/>
      <c r="F66" s="14"/>
    </row>
    <row r="67">
      <c r="D67" s="14"/>
      <c r="F67" s="14"/>
    </row>
    <row r="68">
      <c r="D68" s="14"/>
      <c r="F68" s="14"/>
    </row>
    <row r="69">
      <c r="D69" s="14"/>
      <c r="F69" s="14"/>
    </row>
    <row r="70">
      <c r="D70" s="14"/>
      <c r="F70" s="14"/>
    </row>
    <row r="71">
      <c r="D71" s="14"/>
      <c r="F71" s="14"/>
    </row>
    <row r="72">
      <c r="D72" s="14"/>
      <c r="F72" s="14"/>
    </row>
    <row r="73">
      <c r="D73" s="14"/>
      <c r="F73" s="14"/>
    </row>
    <row r="74">
      <c r="D74" s="14"/>
      <c r="F74" s="14"/>
    </row>
    <row r="75">
      <c r="D75" s="14"/>
      <c r="F75" s="14"/>
    </row>
    <row r="76">
      <c r="D76" s="14"/>
      <c r="F76" s="14"/>
    </row>
    <row r="77">
      <c r="D77" s="14"/>
      <c r="F77" s="14"/>
    </row>
    <row r="78">
      <c r="D78" s="14"/>
      <c r="F78" s="14"/>
    </row>
    <row r="79">
      <c r="D79" s="14"/>
      <c r="F79" s="14"/>
    </row>
    <row r="80">
      <c r="D80" s="14"/>
      <c r="F80" s="14"/>
    </row>
    <row r="81">
      <c r="D81" s="14"/>
      <c r="F81" s="14"/>
    </row>
    <row r="82">
      <c r="D82" s="14"/>
      <c r="F82" s="14"/>
    </row>
    <row r="83">
      <c r="D83" s="14"/>
      <c r="F83" s="14"/>
    </row>
    <row r="84">
      <c r="D84" s="14"/>
      <c r="F84" s="14"/>
    </row>
    <row r="85">
      <c r="D85" s="14"/>
      <c r="F85" s="14"/>
    </row>
    <row r="86">
      <c r="D86" s="14"/>
      <c r="F86" s="14"/>
    </row>
    <row r="87">
      <c r="D87" s="14"/>
      <c r="F87" s="14"/>
    </row>
    <row r="88">
      <c r="D88" s="14"/>
      <c r="F88" s="14"/>
    </row>
    <row r="89">
      <c r="D89" s="14"/>
      <c r="F89" s="14"/>
    </row>
    <row r="90">
      <c r="D90" s="14"/>
      <c r="F90" s="14"/>
    </row>
    <row r="91">
      <c r="D91" s="14"/>
      <c r="F91" s="14"/>
    </row>
    <row r="92">
      <c r="D92" s="14"/>
      <c r="F92" s="14"/>
    </row>
    <row r="93">
      <c r="D93" s="14"/>
      <c r="F93" s="14"/>
    </row>
    <row r="94">
      <c r="D94" s="14"/>
      <c r="F94" s="14"/>
    </row>
    <row r="95">
      <c r="D95" s="14"/>
      <c r="F95" s="14"/>
    </row>
    <row r="96">
      <c r="D96" s="14"/>
      <c r="F96" s="14"/>
    </row>
    <row r="97">
      <c r="D97" s="14"/>
      <c r="F97" s="14"/>
    </row>
    <row r="98">
      <c r="D98" s="14"/>
      <c r="F98" s="14"/>
    </row>
    <row r="99">
      <c r="D99" s="14"/>
      <c r="F99" s="14"/>
    </row>
    <row r="100">
      <c r="D100" s="14"/>
      <c r="F100" s="14"/>
    </row>
    <row r="101">
      <c r="D101" s="14"/>
      <c r="F101" s="14"/>
    </row>
    <row r="102">
      <c r="D102" s="14"/>
      <c r="F102" s="14"/>
    </row>
    <row r="103">
      <c r="D103" s="14"/>
      <c r="F103" s="14"/>
    </row>
    <row r="104">
      <c r="D104" s="14"/>
      <c r="F104" s="14"/>
    </row>
    <row r="105">
      <c r="D105" s="14"/>
      <c r="F105" s="14"/>
    </row>
    <row r="106">
      <c r="D106" s="14"/>
      <c r="F106" s="14"/>
    </row>
    <row r="107">
      <c r="D107" s="14"/>
      <c r="F107" s="14"/>
    </row>
    <row r="108">
      <c r="D108" s="14"/>
      <c r="F108" s="14"/>
    </row>
    <row r="109">
      <c r="D109" s="14"/>
      <c r="F109" s="14"/>
    </row>
    <row r="110">
      <c r="D110" s="14"/>
      <c r="F110" s="14"/>
    </row>
    <row r="111">
      <c r="D111" s="14"/>
      <c r="F111" s="14"/>
    </row>
    <row r="112">
      <c r="D112" s="14"/>
      <c r="F112" s="14"/>
    </row>
    <row r="113">
      <c r="D113" s="14"/>
      <c r="F113" s="14"/>
    </row>
    <row r="114">
      <c r="D114" s="14"/>
      <c r="F114" s="14"/>
    </row>
    <row r="115">
      <c r="D115" s="14"/>
      <c r="F115" s="14"/>
    </row>
    <row r="116">
      <c r="D116" s="14"/>
      <c r="F116" s="14"/>
    </row>
    <row r="117">
      <c r="D117" s="14"/>
      <c r="F117" s="14"/>
    </row>
    <row r="118">
      <c r="D118" s="14"/>
      <c r="F118" s="14"/>
    </row>
    <row r="119">
      <c r="D119" s="14"/>
      <c r="F119" s="14"/>
    </row>
    <row r="120">
      <c r="D120" s="14"/>
      <c r="F120" s="14"/>
    </row>
    <row r="121">
      <c r="D121" s="14"/>
      <c r="F121" s="14"/>
    </row>
    <row r="122">
      <c r="D122" s="14"/>
      <c r="F122" s="14"/>
    </row>
    <row r="123">
      <c r="D123" s="14"/>
      <c r="F123" s="14"/>
    </row>
    <row r="124">
      <c r="D124" s="14"/>
      <c r="F124" s="14"/>
    </row>
    <row r="125">
      <c r="D125" s="14"/>
      <c r="F125" s="14"/>
    </row>
    <row r="126">
      <c r="D126" s="14"/>
      <c r="F126" s="14"/>
    </row>
    <row r="127">
      <c r="D127" s="14"/>
      <c r="F127" s="14"/>
    </row>
    <row r="128">
      <c r="D128" s="14"/>
      <c r="F128" s="14"/>
    </row>
    <row r="129">
      <c r="D129" s="14"/>
      <c r="F129" s="14"/>
    </row>
    <row r="130">
      <c r="D130" s="14"/>
      <c r="F130" s="14"/>
    </row>
    <row r="131">
      <c r="D131" s="14"/>
      <c r="F131" s="14"/>
    </row>
    <row r="132">
      <c r="D132" s="14"/>
      <c r="F132" s="14"/>
    </row>
    <row r="133">
      <c r="D133" s="14"/>
      <c r="F133" s="14"/>
    </row>
    <row r="134">
      <c r="D134" s="14"/>
      <c r="F134" s="14"/>
    </row>
    <row r="135">
      <c r="D135" s="14"/>
      <c r="F135" s="14"/>
    </row>
    <row r="136">
      <c r="D136" s="14"/>
      <c r="F136" s="14"/>
    </row>
    <row r="137">
      <c r="D137" s="14"/>
      <c r="F137" s="14"/>
    </row>
    <row r="138">
      <c r="D138" s="14"/>
      <c r="F138" s="14"/>
    </row>
    <row r="139">
      <c r="D139" s="14"/>
      <c r="F139" s="14"/>
    </row>
    <row r="140">
      <c r="D140" s="14"/>
      <c r="F140" s="14"/>
    </row>
    <row r="141">
      <c r="D141" s="14"/>
      <c r="F141" s="14"/>
    </row>
    <row r="142">
      <c r="D142" s="14"/>
      <c r="F142" s="14"/>
    </row>
    <row r="143">
      <c r="D143" s="14"/>
      <c r="F143" s="14"/>
    </row>
    <row r="144">
      <c r="D144" s="14"/>
      <c r="F144" s="14"/>
    </row>
    <row r="145">
      <c r="D145" s="14"/>
      <c r="F145" s="14"/>
    </row>
    <row r="146">
      <c r="D146" s="14"/>
      <c r="F146" s="14"/>
    </row>
    <row r="147">
      <c r="D147" s="14"/>
      <c r="F147" s="14"/>
    </row>
    <row r="148">
      <c r="D148" s="14"/>
      <c r="F148" s="14"/>
    </row>
    <row r="149">
      <c r="D149" s="14"/>
      <c r="F149" s="14"/>
    </row>
    <row r="150">
      <c r="D150" s="14"/>
      <c r="F150" s="14"/>
    </row>
    <row r="151">
      <c r="D151" s="14"/>
      <c r="F151" s="14"/>
    </row>
    <row r="152">
      <c r="D152" s="14"/>
      <c r="F152" s="14"/>
    </row>
    <row r="153">
      <c r="D153" s="14"/>
      <c r="F153" s="14"/>
    </row>
    <row r="154">
      <c r="D154" s="14"/>
      <c r="F154" s="14"/>
    </row>
    <row r="155">
      <c r="D155" s="14"/>
      <c r="F155" s="14"/>
    </row>
    <row r="156">
      <c r="D156" s="14"/>
      <c r="F156" s="14"/>
    </row>
    <row r="157">
      <c r="D157" s="14"/>
      <c r="F157" s="14"/>
    </row>
    <row r="158">
      <c r="D158" s="14"/>
      <c r="F158" s="14"/>
    </row>
    <row r="159">
      <c r="D159" s="14"/>
      <c r="F159" s="14"/>
    </row>
    <row r="160">
      <c r="D160" s="14"/>
      <c r="F160" s="14"/>
    </row>
    <row r="161">
      <c r="D161" s="14"/>
      <c r="F161" s="14"/>
    </row>
    <row r="162">
      <c r="D162" s="14"/>
      <c r="F162" s="14"/>
    </row>
    <row r="163">
      <c r="D163" s="14"/>
      <c r="F163" s="14"/>
    </row>
    <row r="164">
      <c r="D164" s="14"/>
      <c r="F164" s="14"/>
    </row>
    <row r="165">
      <c r="D165" s="14"/>
      <c r="F165" s="14"/>
    </row>
    <row r="166">
      <c r="D166" s="14"/>
      <c r="F166" s="14"/>
    </row>
    <row r="167">
      <c r="D167" s="14"/>
      <c r="F167" s="14"/>
    </row>
    <row r="168">
      <c r="D168" s="14"/>
      <c r="F168" s="14"/>
    </row>
    <row r="169">
      <c r="D169" s="14"/>
      <c r="F169" s="14"/>
    </row>
    <row r="170">
      <c r="D170" s="14"/>
      <c r="F170" s="14"/>
    </row>
    <row r="171">
      <c r="D171" s="14"/>
      <c r="F171" s="14"/>
    </row>
    <row r="172">
      <c r="D172" s="14"/>
      <c r="F172" s="14"/>
    </row>
    <row r="173">
      <c r="D173" s="14"/>
      <c r="F173" s="14"/>
    </row>
    <row r="174">
      <c r="D174" s="14"/>
      <c r="F174" s="14"/>
    </row>
    <row r="175">
      <c r="D175" s="14"/>
      <c r="F175" s="14"/>
    </row>
    <row r="176">
      <c r="D176" s="14"/>
      <c r="F176" s="14"/>
    </row>
    <row r="177">
      <c r="D177" s="14"/>
      <c r="F177" s="14"/>
    </row>
    <row r="178">
      <c r="D178" s="14"/>
      <c r="F178" s="14"/>
    </row>
    <row r="179">
      <c r="D179" s="14"/>
      <c r="F179" s="14"/>
    </row>
    <row r="180">
      <c r="D180" s="14"/>
      <c r="F180" s="14"/>
    </row>
    <row r="181">
      <c r="D181" s="14"/>
      <c r="F181" s="14"/>
    </row>
    <row r="182">
      <c r="D182" s="14"/>
      <c r="F182" s="14"/>
    </row>
    <row r="183">
      <c r="D183" s="14"/>
      <c r="F183" s="14"/>
    </row>
    <row r="184">
      <c r="D184" s="14"/>
      <c r="F184" s="14"/>
    </row>
    <row r="185">
      <c r="D185" s="14"/>
      <c r="F185" s="14"/>
    </row>
    <row r="186">
      <c r="D186" s="14"/>
      <c r="F186" s="14"/>
    </row>
    <row r="187">
      <c r="D187" s="14"/>
      <c r="F187" s="14"/>
    </row>
    <row r="188">
      <c r="D188" s="14"/>
      <c r="F188" s="14"/>
    </row>
    <row r="189">
      <c r="D189" s="14"/>
      <c r="F189" s="14"/>
    </row>
    <row r="190">
      <c r="D190" s="14"/>
      <c r="F190" s="14"/>
    </row>
    <row r="191">
      <c r="D191" s="14"/>
      <c r="F191" s="14"/>
    </row>
    <row r="192">
      <c r="D192" s="14"/>
      <c r="F192" s="14"/>
    </row>
    <row r="193">
      <c r="D193" s="14"/>
      <c r="F193" s="14"/>
    </row>
    <row r="194">
      <c r="D194" s="14"/>
      <c r="F194" s="14"/>
    </row>
    <row r="195">
      <c r="D195" s="14"/>
      <c r="F195" s="14"/>
    </row>
    <row r="196">
      <c r="D196" s="14"/>
      <c r="F196" s="14"/>
    </row>
    <row r="197">
      <c r="D197" s="14"/>
      <c r="F197" s="14"/>
    </row>
    <row r="198">
      <c r="D198" s="14"/>
      <c r="F198" s="14"/>
    </row>
    <row r="199">
      <c r="D199" s="14"/>
      <c r="F199" s="14"/>
    </row>
    <row r="200">
      <c r="D200" s="14"/>
      <c r="F200" s="14"/>
    </row>
    <row r="201">
      <c r="D201" s="14"/>
      <c r="F201" s="14"/>
    </row>
    <row r="202">
      <c r="D202" s="14"/>
      <c r="F202" s="14"/>
    </row>
    <row r="203">
      <c r="D203" s="14"/>
      <c r="F203" s="14"/>
    </row>
    <row r="204">
      <c r="D204" s="14"/>
      <c r="F204" s="14"/>
    </row>
    <row r="205">
      <c r="D205" s="14"/>
      <c r="F205" s="14"/>
    </row>
    <row r="206">
      <c r="D206" s="14"/>
      <c r="F206" s="14"/>
    </row>
    <row r="207">
      <c r="D207" s="14"/>
      <c r="F207" s="14"/>
    </row>
    <row r="208">
      <c r="D208" s="14"/>
      <c r="F208" s="14"/>
    </row>
    <row r="209">
      <c r="D209" s="14"/>
      <c r="F209" s="14"/>
    </row>
    <row r="210">
      <c r="D210" s="14"/>
      <c r="F210" s="14"/>
    </row>
    <row r="211">
      <c r="D211" s="14"/>
      <c r="F211" s="14"/>
    </row>
    <row r="212">
      <c r="D212" s="14"/>
      <c r="F212" s="14"/>
    </row>
    <row r="213">
      <c r="D213" s="14"/>
      <c r="F213" s="14"/>
    </row>
    <row r="214">
      <c r="D214" s="14"/>
      <c r="F214" s="14"/>
    </row>
    <row r="215">
      <c r="D215" s="14"/>
      <c r="F215" s="14"/>
    </row>
    <row r="216">
      <c r="D216" s="14"/>
      <c r="F216" s="14"/>
    </row>
    <row r="217">
      <c r="D217" s="14"/>
      <c r="F217" s="14"/>
    </row>
    <row r="218">
      <c r="D218" s="14"/>
      <c r="F218" s="14"/>
    </row>
    <row r="219">
      <c r="D219" s="14"/>
      <c r="F219" s="14"/>
    </row>
    <row r="220">
      <c r="D220" s="14"/>
      <c r="F220" s="14"/>
    </row>
    <row r="221">
      <c r="D221" s="14"/>
      <c r="F221" s="14"/>
    </row>
    <row r="222">
      <c r="D222" s="14"/>
      <c r="F222" s="14"/>
    </row>
    <row r="223">
      <c r="D223" s="14"/>
      <c r="F223" s="14"/>
    </row>
    <row r="224">
      <c r="D224" s="14"/>
      <c r="F224" s="14"/>
    </row>
    <row r="225">
      <c r="D225" s="14"/>
      <c r="F225" s="14"/>
    </row>
    <row r="226">
      <c r="D226" s="14"/>
      <c r="F226" s="14"/>
    </row>
    <row r="227">
      <c r="D227" s="14"/>
      <c r="F227" s="14"/>
    </row>
    <row r="228">
      <c r="D228" s="14"/>
      <c r="F228" s="14"/>
    </row>
    <row r="229">
      <c r="D229" s="14"/>
      <c r="F229" s="14"/>
    </row>
    <row r="230">
      <c r="D230" s="14"/>
      <c r="F230" s="14"/>
    </row>
    <row r="231">
      <c r="D231" s="14"/>
      <c r="F231" s="14"/>
    </row>
    <row r="232">
      <c r="D232" s="14"/>
      <c r="F232" s="14"/>
    </row>
    <row r="233">
      <c r="D233" s="14"/>
      <c r="F233" s="14"/>
    </row>
    <row r="234">
      <c r="D234" s="14"/>
      <c r="F234" s="14"/>
    </row>
    <row r="235">
      <c r="D235" s="14"/>
      <c r="F235" s="14"/>
    </row>
    <row r="236">
      <c r="D236" s="14"/>
      <c r="F236" s="14"/>
    </row>
    <row r="237">
      <c r="D237" s="14"/>
      <c r="F237" s="14"/>
    </row>
    <row r="238">
      <c r="D238" s="14"/>
      <c r="F238" s="14"/>
    </row>
    <row r="239">
      <c r="D239" s="14"/>
      <c r="F239" s="14"/>
    </row>
    <row r="240">
      <c r="D240" s="14"/>
      <c r="F240" s="14"/>
    </row>
    <row r="241">
      <c r="D241" s="14"/>
      <c r="F241" s="14"/>
    </row>
    <row r="242">
      <c r="D242" s="14"/>
      <c r="F242" s="14"/>
    </row>
    <row r="243">
      <c r="D243" s="14"/>
      <c r="F243" s="14"/>
    </row>
    <row r="244">
      <c r="D244" s="14"/>
      <c r="F244" s="14"/>
    </row>
    <row r="245">
      <c r="D245" s="14"/>
      <c r="F245" s="14"/>
    </row>
    <row r="246">
      <c r="D246" s="14"/>
      <c r="F246" s="14"/>
    </row>
    <row r="247">
      <c r="D247" s="14"/>
      <c r="F247" s="14"/>
    </row>
    <row r="248">
      <c r="D248" s="14"/>
      <c r="F248" s="14"/>
    </row>
    <row r="249">
      <c r="D249" s="14"/>
      <c r="F249" s="14"/>
    </row>
    <row r="250">
      <c r="D250" s="14"/>
      <c r="F250" s="14"/>
    </row>
    <row r="251">
      <c r="D251" s="14"/>
      <c r="F251" s="14"/>
    </row>
    <row r="252">
      <c r="D252" s="14"/>
      <c r="F252" s="14"/>
    </row>
    <row r="253">
      <c r="D253" s="14"/>
      <c r="F253" s="14"/>
    </row>
    <row r="254">
      <c r="D254" s="14"/>
      <c r="F254" s="14"/>
    </row>
    <row r="255">
      <c r="D255" s="14"/>
      <c r="F255" s="14"/>
    </row>
    <row r="256">
      <c r="D256" s="14"/>
      <c r="F256" s="14"/>
    </row>
    <row r="257">
      <c r="D257" s="14"/>
      <c r="F257" s="14"/>
    </row>
    <row r="258">
      <c r="D258" s="14"/>
      <c r="F258" s="14"/>
    </row>
    <row r="259">
      <c r="D259" s="14"/>
      <c r="F259" s="14"/>
    </row>
    <row r="260">
      <c r="D260" s="14"/>
      <c r="F260" s="14"/>
    </row>
    <row r="261">
      <c r="D261" s="14"/>
      <c r="F261" s="14"/>
    </row>
    <row r="262">
      <c r="D262" s="14"/>
      <c r="F262" s="14"/>
    </row>
    <row r="263">
      <c r="D263" s="14"/>
      <c r="F263" s="14"/>
    </row>
    <row r="264">
      <c r="D264" s="14"/>
      <c r="F264" s="14"/>
    </row>
    <row r="265">
      <c r="D265" s="14"/>
      <c r="F265" s="14"/>
    </row>
    <row r="266">
      <c r="D266" s="14"/>
      <c r="F266" s="14"/>
    </row>
    <row r="267">
      <c r="D267" s="14"/>
      <c r="F267" s="14"/>
    </row>
    <row r="268">
      <c r="D268" s="14"/>
      <c r="F268" s="14"/>
    </row>
    <row r="269">
      <c r="D269" s="14"/>
      <c r="F269" s="14"/>
    </row>
    <row r="270">
      <c r="D270" s="14"/>
      <c r="F270" s="14"/>
    </row>
    <row r="271">
      <c r="D271" s="14"/>
      <c r="F271" s="14"/>
    </row>
    <row r="272">
      <c r="D272" s="14"/>
      <c r="F272" s="14"/>
    </row>
    <row r="273">
      <c r="D273" s="14"/>
      <c r="F273" s="14"/>
    </row>
    <row r="274">
      <c r="D274" s="14"/>
      <c r="F274" s="14"/>
    </row>
    <row r="275">
      <c r="D275" s="14"/>
      <c r="F275" s="14"/>
    </row>
    <row r="276">
      <c r="D276" s="14"/>
      <c r="F276" s="14"/>
    </row>
    <row r="277">
      <c r="D277" s="14"/>
      <c r="F277" s="14"/>
    </row>
    <row r="278">
      <c r="D278" s="14"/>
      <c r="F278" s="14"/>
    </row>
    <row r="279">
      <c r="D279" s="14"/>
      <c r="F279" s="14"/>
    </row>
    <row r="280">
      <c r="D280" s="14"/>
      <c r="F280" s="14"/>
    </row>
    <row r="281">
      <c r="D281" s="14"/>
      <c r="F281" s="14"/>
    </row>
    <row r="282">
      <c r="D282" s="14"/>
      <c r="F282" s="14"/>
    </row>
    <row r="283">
      <c r="D283" s="14"/>
      <c r="F283" s="14"/>
    </row>
    <row r="284">
      <c r="D284" s="14"/>
      <c r="F284" s="14"/>
    </row>
    <row r="285">
      <c r="D285" s="14"/>
      <c r="F285" s="14"/>
    </row>
    <row r="286">
      <c r="D286" s="14"/>
      <c r="F286" s="14"/>
    </row>
    <row r="287">
      <c r="D287" s="14"/>
      <c r="F287" s="14"/>
    </row>
    <row r="288">
      <c r="D288" s="14"/>
      <c r="F288" s="14"/>
    </row>
    <row r="289">
      <c r="D289" s="14"/>
      <c r="F289" s="14"/>
    </row>
    <row r="290">
      <c r="D290" s="14"/>
      <c r="F290" s="14"/>
    </row>
    <row r="291">
      <c r="D291" s="14"/>
      <c r="F291" s="14"/>
    </row>
    <row r="292">
      <c r="D292" s="14"/>
      <c r="F292" s="14"/>
    </row>
    <row r="293">
      <c r="D293" s="14"/>
      <c r="F293" s="14"/>
    </row>
    <row r="294">
      <c r="D294" s="14"/>
      <c r="F294" s="14"/>
    </row>
    <row r="295">
      <c r="D295" s="14"/>
      <c r="F295" s="14"/>
    </row>
    <row r="296">
      <c r="D296" s="14"/>
      <c r="F296" s="14"/>
    </row>
    <row r="297">
      <c r="D297" s="14"/>
      <c r="F297" s="14"/>
    </row>
    <row r="298">
      <c r="D298" s="14"/>
      <c r="F298" s="14"/>
    </row>
    <row r="299">
      <c r="D299" s="14"/>
      <c r="F299" s="14"/>
    </row>
    <row r="300">
      <c r="D300" s="14"/>
      <c r="F300" s="14"/>
    </row>
    <row r="301">
      <c r="D301" s="14"/>
      <c r="F301" s="14"/>
    </row>
    <row r="302">
      <c r="D302" s="14"/>
      <c r="F302" s="14"/>
    </row>
    <row r="303">
      <c r="D303" s="14"/>
      <c r="F303" s="14"/>
    </row>
    <row r="304">
      <c r="D304" s="14"/>
      <c r="F304" s="14"/>
    </row>
    <row r="305">
      <c r="D305" s="14"/>
      <c r="F305" s="14"/>
    </row>
    <row r="306">
      <c r="D306" s="14"/>
      <c r="F306" s="14"/>
    </row>
    <row r="307">
      <c r="D307" s="14"/>
      <c r="F307" s="14"/>
    </row>
    <row r="308">
      <c r="D308" s="14"/>
      <c r="F308" s="14"/>
    </row>
    <row r="309">
      <c r="D309" s="14"/>
      <c r="F309" s="14"/>
    </row>
    <row r="310">
      <c r="D310" s="14"/>
      <c r="F310" s="14"/>
    </row>
    <row r="311">
      <c r="D311" s="14"/>
      <c r="F311" s="14"/>
    </row>
    <row r="312">
      <c r="D312" s="14"/>
      <c r="F312" s="14"/>
    </row>
    <row r="313">
      <c r="D313" s="14"/>
      <c r="F313" s="14"/>
    </row>
    <row r="314">
      <c r="D314" s="14"/>
      <c r="F314" s="14"/>
    </row>
    <row r="315">
      <c r="D315" s="14"/>
      <c r="F315" s="14"/>
    </row>
    <row r="316">
      <c r="D316" s="14"/>
      <c r="F316" s="14"/>
    </row>
    <row r="317">
      <c r="D317" s="14"/>
      <c r="F317" s="14"/>
    </row>
    <row r="318">
      <c r="D318" s="14"/>
      <c r="F318" s="14"/>
    </row>
    <row r="319">
      <c r="D319" s="14"/>
      <c r="F319" s="14"/>
    </row>
    <row r="320">
      <c r="D320" s="14"/>
      <c r="F320" s="14"/>
    </row>
    <row r="321">
      <c r="D321" s="14"/>
      <c r="F321" s="14"/>
    </row>
    <row r="322">
      <c r="D322" s="14"/>
      <c r="F322" s="14"/>
    </row>
    <row r="323">
      <c r="D323" s="14"/>
      <c r="F323" s="14"/>
    </row>
    <row r="324">
      <c r="D324" s="14"/>
      <c r="F324" s="14"/>
    </row>
    <row r="325">
      <c r="D325" s="14"/>
      <c r="F325" s="14"/>
    </row>
    <row r="326">
      <c r="D326" s="14"/>
      <c r="F326" s="14"/>
    </row>
    <row r="327">
      <c r="D327" s="14"/>
      <c r="F327" s="14"/>
    </row>
    <row r="328">
      <c r="D328" s="14"/>
      <c r="F328" s="14"/>
    </row>
    <row r="329">
      <c r="D329" s="14"/>
      <c r="F329" s="14"/>
    </row>
    <row r="330">
      <c r="D330" s="14"/>
      <c r="F330" s="14"/>
    </row>
    <row r="331">
      <c r="D331" s="14"/>
      <c r="F331" s="14"/>
    </row>
    <row r="332">
      <c r="D332" s="14"/>
      <c r="F332" s="14"/>
    </row>
    <row r="333">
      <c r="D333" s="14"/>
      <c r="F333" s="14"/>
    </row>
    <row r="334">
      <c r="D334" s="14"/>
      <c r="F334" s="14"/>
    </row>
    <row r="335">
      <c r="D335" s="14"/>
      <c r="F335" s="14"/>
    </row>
    <row r="336">
      <c r="D336" s="14"/>
      <c r="F336" s="14"/>
    </row>
    <row r="337">
      <c r="D337" s="14"/>
      <c r="F337" s="14"/>
    </row>
    <row r="338">
      <c r="D338" s="14"/>
      <c r="F338" s="14"/>
    </row>
    <row r="339">
      <c r="D339" s="14"/>
      <c r="F339" s="14"/>
    </row>
    <row r="340">
      <c r="D340" s="14"/>
      <c r="F340" s="14"/>
    </row>
    <row r="341">
      <c r="D341" s="14"/>
      <c r="F341" s="14"/>
    </row>
    <row r="342">
      <c r="D342" s="14"/>
      <c r="F342" s="14"/>
    </row>
    <row r="343">
      <c r="D343" s="14"/>
      <c r="F343" s="14"/>
    </row>
    <row r="344">
      <c r="D344" s="14"/>
      <c r="F344" s="14"/>
    </row>
    <row r="345">
      <c r="D345" s="14"/>
      <c r="F345" s="14"/>
    </row>
    <row r="346">
      <c r="D346" s="14"/>
      <c r="F346" s="14"/>
    </row>
    <row r="347">
      <c r="D347" s="14"/>
      <c r="F347" s="14"/>
    </row>
    <row r="348">
      <c r="D348" s="14"/>
      <c r="F348" s="14"/>
    </row>
    <row r="349">
      <c r="D349" s="14"/>
      <c r="F349" s="14"/>
    </row>
    <row r="350">
      <c r="D350" s="14"/>
      <c r="F350" s="14"/>
    </row>
    <row r="351">
      <c r="D351" s="14"/>
      <c r="F351" s="14"/>
    </row>
    <row r="352">
      <c r="D352" s="14"/>
      <c r="F352" s="14"/>
    </row>
    <row r="353">
      <c r="D353" s="14"/>
      <c r="F353" s="14"/>
    </row>
    <row r="354">
      <c r="D354" s="14"/>
      <c r="F354" s="14"/>
    </row>
    <row r="355">
      <c r="D355" s="14"/>
      <c r="F355" s="14"/>
    </row>
    <row r="356">
      <c r="D356" s="14"/>
      <c r="F356" s="14"/>
    </row>
    <row r="357">
      <c r="D357" s="14"/>
      <c r="F357" s="14"/>
    </row>
    <row r="358">
      <c r="D358" s="14"/>
      <c r="F358" s="14"/>
    </row>
    <row r="359">
      <c r="D359" s="14"/>
      <c r="F359" s="14"/>
    </row>
    <row r="360">
      <c r="D360" s="14"/>
      <c r="F360" s="14"/>
    </row>
    <row r="361">
      <c r="D361" s="14"/>
      <c r="F361" s="14"/>
    </row>
    <row r="362">
      <c r="D362" s="14"/>
      <c r="F362" s="14"/>
    </row>
    <row r="363">
      <c r="D363" s="14"/>
      <c r="F363" s="14"/>
    </row>
    <row r="364">
      <c r="D364" s="14"/>
      <c r="F364" s="14"/>
    </row>
    <row r="365">
      <c r="D365" s="14"/>
      <c r="F365" s="14"/>
    </row>
    <row r="366">
      <c r="D366" s="14"/>
      <c r="F366" s="14"/>
    </row>
    <row r="367">
      <c r="D367" s="14"/>
      <c r="F367" s="14"/>
    </row>
    <row r="368">
      <c r="D368" s="14"/>
      <c r="F368" s="14"/>
    </row>
    <row r="369">
      <c r="D369" s="14"/>
      <c r="F369" s="14"/>
    </row>
    <row r="370">
      <c r="D370" s="14"/>
      <c r="F370" s="14"/>
    </row>
    <row r="371">
      <c r="D371" s="14"/>
      <c r="F371" s="14"/>
    </row>
    <row r="372">
      <c r="D372" s="14"/>
      <c r="F372" s="14"/>
    </row>
    <row r="373">
      <c r="D373" s="14"/>
      <c r="F373" s="14"/>
    </row>
    <row r="374">
      <c r="D374" s="14"/>
      <c r="F374" s="14"/>
    </row>
    <row r="375">
      <c r="D375" s="14"/>
      <c r="F375" s="14"/>
    </row>
    <row r="376">
      <c r="D376" s="14"/>
      <c r="F376" s="14"/>
    </row>
    <row r="377">
      <c r="D377" s="14"/>
      <c r="F377" s="14"/>
    </row>
    <row r="378">
      <c r="D378" s="14"/>
      <c r="F378" s="14"/>
    </row>
    <row r="379">
      <c r="D379" s="14"/>
      <c r="F379" s="14"/>
    </row>
    <row r="380">
      <c r="D380" s="14"/>
      <c r="F380" s="14"/>
    </row>
    <row r="381">
      <c r="D381" s="14"/>
      <c r="F381" s="14"/>
    </row>
    <row r="382">
      <c r="D382" s="14"/>
      <c r="F382" s="14"/>
    </row>
    <row r="383">
      <c r="D383" s="14"/>
      <c r="F383" s="14"/>
    </row>
    <row r="384">
      <c r="D384" s="14"/>
      <c r="F384" s="14"/>
    </row>
    <row r="385">
      <c r="D385" s="14"/>
      <c r="F385" s="14"/>
    </row>
    <row r="386">
      <c r="D386" s="14"/>
      <c r="F386" s="14"/>
    </row>
    <row r="387">
      <c r="D387" s="14"/>
      <c r="F387" s="14"/>
    </row>
    <row r="388">
      <c r="D388" s="14"/>
      <c r="F388" s="14"/>
    </row>
    <row r="389">
      <c r="D389" s="14"/>
      <c r="F389" s="14"/>
    </row>
    <row r="390">
      <c r="D390" s="14"/>
      <c r="F390" s="14"/>
    </row>
    <row r="391">
      <c r="D391" s="14"/>
      <c r="F391" s="14"/>
    </row>
    <row r="392">
      <c r="D392" s="14"/>
      <c r="F392" s="14"/>
    </row>
    <row r="393">
      <c r="D393" s="14"/>
      <c r="F393" s="14"/>
    </row>
    <row r="394">
      <c r="D394" s="14"/>
      <c r="F394" s="14"/>
    </row>
    <row r="395">
      <c r="D395" s="14"/>
      <c r="F395" s="14"/>
    </row>
    <row r="396">
      <c r="D396" s="14"/>
      <c r="F396" s="14"/>
    </row>
    <row r="397">
      <c r="D397" s="14"/>
      <c r="F397" s="14"/>
    </row>
    <row r="398">
      <c r="D398" s="14"/>
      <c r="F398" s="14"/>
    </row>
    <row r="399">
      <c r="D399" s="14"/>
      <c r="F399" s="14"/>
    </row>
    <row r="400">
      <c r="D400" s="14"/>
      <c r="F400" s="14"/>
    </row>
    <row r="401">
      <c r="D401" s="14"/>
      <c r="F401" s="14"/>
    </row>
    <row r="402">
      <c r="D402" s="14"/>
      <c r="F402" s="14"/>
    </row>
    <row r="403">
      <c r="D403" s="14"/>
      <c r="F403" s="14"/>
    </row>
    <row r="404">
      <c r="D404" s="14"/>
      <c r="F404" s="14"/>
    </row>
    <row r="405">
      <c r="D405" s="14"/>
      <c r="F405" s="14"/>
    </row>
    <row r="406">
      <c r="D406" s="14"/>
      <c r="F406" s="14"/>
    </row>
    <row r="407">
      <c r="D407" s="14"/>
      <c r="F407" s="14"/>
    </row>
    <row r="408">
      <c r="D408" s="14"/>
      <c r="F408" s="14"/>
    </row>
    <row r="409">
      <c r="D409" s="14"/>
      <c r="F409" s="14"/>
    </row>
    <row r="410">
      <c r="D410" s="14"/>
      <c r="F410" s="14"/>
    </row>
    <row r="411">
      <c r="D411" s="14"/>
      <c r="F411" s="14"/>
    </row>
    <row r="412">
      <c r="D412" s="14"/>
      <c r="F412" s="14"/>
    </row>
    <row r="413">
      <c r="D413" s="14"/>
      <c r="F413" s="14"/>
    </row>
    <row r="414">
      <c r="D414" s="14"/>
      <c r="F414" s="14"/>
    </row>
    <row r="415">
      <c r="D415" s="14"/>
      <c r="F415" s="14"/>
    </row>
    <row r="416">
      <c r="D416" s="14"/>
      <c r="F416" s="14"/>
    </row>
    <row r="417">
      <c r="D417" s="14"/>
      <c r="F417" s="14"/>
    </row>
    <row r="418">
      <c r="D418" s="14"/>
      <c r="F418" s="14"/>
    </row>
    <row r="419">
      <c r="D419" s="14"/>
      <c r="F419" s="14"/>
    </row>
    <row r="420">
      <c r="D420" s="14"/>
      <c r="F420" s="14"/>
    </row>
    <row r="421">
      <c r="D421" s="14"/>
      <c r="F421" s="14"/>
    </row>
    <row r="422">
      <c r="D422" s="14"/>
      <c r="F422" s="14"/>
    </row>
    <row r="423">
      <c r="D423" s="14"/>
      <c r="F423" s="14"/>
    </row>
    <row r="424">
      <c r="D424" s="14"/>
      <c r="F424" s="14"/>
    </row>
    <row r="425">
      <c r="D425" s="14"/>
      <c r="F425" s="14"/>
    </row>
    <row r="426">
      <c r="D426" s="14"/>
      <c r="F426" s="14"/>
    </row>
    <row r="427">
      <c r="D427" s="14"/>
      <c r="F427" s="14"/>
    </row>
    <row r="428">
      <c r="D428" s="14"/>
      <c r="F428" s="14"/>
    </row>
    <row r="429">
      <c r="D429" s="14"/>
      <c r="F429" s="14"/>
    </row>
    <row r="430">
      <c r="D430" s="14"/>
      <c r="F430" s="14"/>
    </row>
    <row r="431">
      <c r="D431" s="14"/>
      <c r="F431" s="14"/>
    </row>
    <row r="432">
      <c r="D432" s="14"/>
      <c r="F432" s="14"/>
    </row>
    <row r="433">
      <c r="D433" s="14"/>
      <c r="F433" s="14"/>
    </row>
    <row r="434">
      <c r="D434" s="14"/>
      <c r="F434" s="14"/>
    </row>
    <row r="435">
      <c r="D435" s="14"/>
      <c r="F435" s="14"/>
    </row>
    <row r="436">
      <c r="D436" s="14"/>
      <c r="F436" s="14"/>
    </row>
    <row r="437">
      <c r="D437" s="14"/>
      <c r="F437" s="14"/>
    </row>
    <row r="438">
      <c r="D438" s="14"/>
      <c r="F438" s="14"/>
    </row>
    <row r="439">
      <c r="D439" s="14"/>
      <c r="F439" s="14"/>
    </row>
    <row r="440">
      <c r="D440" s="14"/>
      <c r="F440" s="14"/>
    </row>
    <row r="441">
      <c r="D441" s="14"/>
      <c r="F441" s="14"/>
    </row>
    <row r="442">
      <c r="D442" s="14"/>
      <c r="F442" s="14"/>
    </row>
    <row r="443">
      <c r="D443" s="14"/>
      <c r="F443" s="14"/>
    </row>
    <row r="444">
      <c r="D444" s="14"/>
      <c r="F444" s="14"/>
    </row>
    <row r="445">
      <c r="D445" s="14"/>
      <c r="F445" s="14"/>
    </row>
    <row r="446">
      <c r="D446" s="14"/>
      <c r="F446" s="14"/>
    </row>
    <row r="447">
      <c r="D447" s="14"/>
      <c r="F447" s="14"/>
    </row>
    <row r="448">
      <c r="D448" s="14"/>
      <c r="F448" s="14"/>
    </row>
    <row r="449">
      <c r="D449" s="14"/>
      <c r="F449" s="14"/>
    </row>
    <row r="450">
      <c r="D450" s="14"/>
      <c r="F450" s="14"/>
    </row>
    <row r="451">
      <c r="D451" s="14"/>
      <c r="F451" s="14"/>
    </row>
    <row r="452">
      <c r="D452" s="14"/>
      <c r="F452" s="14"/>
    </row>
    <row r="453">
      <c r="D453" s="14"/>
      <c r="F453" s="14"/>
    </row>
    <row r="454">
      <c r="D454" s="14"/>
      <c r="F454" s="14"/>
    </row>
    <row r="455">
      <c r="D455" s="14"/>
      <c r="F455" s="14"/>
    </row>
    <row r="456">
      <c r="D456" s="14"/>
      <c r="F456" s="14"/>
    </row>
    <row r="457">
      <c r="D457" s="14"/>
      <c r="F457" s="14"/>
    </row>
    <row r="458">
      <c r="D458" s="14"/>
      <c r="F458" s="14"/>
    </row>
    <row r="459">
      <c r="D459" s="14"/>
      <c r="F459" s="14"/>
    </row>
    <row r="460">
      <c r="D460" s="14"/>
      <c r="F460" s="14"/>
    </row>
    <row r="461">
      <c r="D461" s="14"/>
      <c r="F461" s="14"/>
    </row>
    <row r="462">
      <c r="D462" s="14"/>
      <c r="F462" s="14"/>
    </row>
    <row r="463">
      <c r="D463" s="14"/>
      <c r="F463" s="14"/>
    </row>
    <row r="464">
      <c r="D464" s="14"/>
      <c r="F464" s="14"/>
    </row>
    <row r="465">
      <c r="D465" s="14"/>
      <c r="F465" s="14"/>
    </row>
    <row r="466">
      <c r="D466" s="14"/>
      <c r="F466" s="14"/>
    </row>
    <row r="467">
      <c r="D467" s="14"/>
      <c r="F467" s="14"/>
    </row>
    <row r="468">
      <c r="D468" s="14"/>
      <c r="F468" s="14"/>
    </row>
    <row r="469">
      <c r="D469" s="14"/>
      <c r="F469" s="14"/>
    </row>
    <row r="470">
      <c r="D470" s="14"/>
      <c r="F470" s="14"/>
    </row>
    <row r="471">
      <c r="D471" s="14"/>
      <c r="F471" s="14"/>
    </row>
    <row r="472">
      <c r="D472" s="14"/>
      <c r="F472" s="14"/>
    </row>
    <row r="473">
      <c r="D473" s="14"/>
      <c r="F473" s="14"/>
    </row>
    <row r="474">
      <c r="D474" s="14"/>
      <c r="F474" s="14"/>
    </row>
    <row r="475">
      <c r="D475" s="14"/>
      <c r="F475" s="14"/>
    </row>
    <row r="476">
      <c r="D476" s="14"/>
      <c r="F476" s="14"/>
    </row>
    <row r="477">
      <c r="D477" s="14"/>
      <c r="F477" s="14"/>
    </row>
    <row r="478">
      <c r="D478" s="14"/>
      <c r="F478" s="14"/>
    </row>
    <row r="479">
      <c r="D479" s="14"/>
      <c r="F479" s="14"/>
    </row>
    <row r="480">
      <c r="D480" s="14"/>
      <c r="F480" s="14"/>
    </row>
    <row r="481">
      <c r="D481" s="14"/>
      <c r="F481" s="14"/>
    </row>
    <row r="482">
      <c r="D482" s="14"/>
      <c r="F482" s="14"/>
    </row>
    <row r="483">
      <c r="D483" s="14"/>
      <c r="F483" s="14"/>
    </row>
    <row r="484">
      <c r="D484" s="14"/>
      <c r="F484" s="14"/>
    </row>
    <row r="485">
      <c r="D485" s="14"/>
      <c r="F485" s="14"/>
    </row>
    <row r="486">
      <c r="D486" s="14"/>
      <c r="F486" s="14"/>
    </row>
    <row r="487">
      <c r="D487" s="14"/>
      <c r="F487" s="14"/>
    </row>
    <row r="488">
      <c r="D488" s="14"/>
      <c r="F488" s="14"/>
    </row>
    <row r="489">
      <c r="D489" s="14"/>
      <c r="F489" s="14"/>
    </row>
    <row r="490">
      <c r="D490" s="14"/>
      <c r="F490" s="14"/>
    </row>
    <row r="491">
      <c r="D491" s="14"/>
      <c r="F491" s="14"/>
    </row>
    <row r="492">
      <c r="D492" s="14"/>
      <c r="F492" s="14"/>
    </row>
    <row r="493">
      <c r="D493" s="14"/>
      <c r="F493" s="14"/>
    </row>
    <row r="494">
      <c r="D494" s="14"/>
      <c r="F494" s="14"/>
    </row>
    <row r="495">
      <c r="D495" s="14"/>
      <c r="F495" s="14"/>
    </row>
    <row r="496">
      <c r="D496" s="14"/>
      <c r="F496" s="14"/>
    </row>
    <row r="497">
      <c r="D497" s="14"/>
      <c r="F497" s="14"/>
    </row>
    <row r="498">
      <c r="D498" s="14"/>
      <c r="F498" s="14"/>
    </row>
    <row r="499">
      <c r="D499" s="14"/>
      <c r="F499" s="14"/>
    </row>
    <row r="500">
      <c r="D500" s="14"/>
      <c r="F500" s="14"/>
    </row>
    <row r="501">
      <c r="D501" s="14"/>
      <c r="F501" s="14"/>
    </row>
    <row r="502">
      <c r="D502" s="14"/>
      <c r="F502" s="14"/>
    </row>
    <row r="503">
      <c r="D503" s="14"/>
      <c r="F503" s="14"/>
    </row>
    <row r="504">
      <c r="D504" s="14"/>
      <c r="F504" s="14"/>
    </row>
    <row r="505">
      <c r="D505" s="14"/>
      <c r="F505" s="14"/>
    </row>
    <row r="506">
      <c r="D506" s="14"/>
      <c r="F506" s="14"/>
    </row>
    <row r="507">
      <c r="D507" s="14"/>
      <c r="F507" s="14"/>
    </row>
    <row r="508">
      <c r="D508" s="14"/>
      <c r="F508" s="14"/>
    </row>
    <row r="509">
      <c r="D509" s="14"/>
      <c r="F509" s="14"/>
    </row>
    <row r="510">
      <c r="D510" s="14"/>
      <c r="F510" s="14"/>
    </row>
    <row r="511">
      <c r="D511" s="14"/>
      <c r="F511" s="14"/>
    </row>
    <row r="512">
      <c r="D512" s="14"/>
      <c r="F512" s="14"/>
    </row>
    <row r="513">
      <c r="D513" s="14"/>
      <c r="F513" s="14"/>
    </row>
    <row r="514">
      <c r="D514" s="14"/>
      <c r="F514" s="14"/>
    </row>
    <row r="515">
      <c r="D515" s="14"/>
      <c r="F515" s="14"/>
    </row>
    <row r="516">
      <c r="D516" s="14"/>
      <c r="F516" s="14"/>
    </row>
    <row r="517">
      <c r="D517" s="14"/>
      <c r="F517" s="14"/>
    </row>
    <row r="518">
      <c r="D518" s="14"/>
      <c r="F518" s="14"/>
    </row>
    <row r="519">
      <c r="D519" s="14"/>
      <c r="F519" s="14"/>
    </row>
    <row r="520">
      <c r="D520" s="14"/>
      <c r="F520" s="14"/>
    </row>
    <row r="521">
      <c r="D521" s="14"/>
      <c r="F521" s="14"/>
    </row>
    <row r="522">
      <c r="D522" s="14"/>
      <c r="F522" s="14"/>
    </row>
    <row r="523">
      <c r="D523" s="14"/>
      <c r="F523" s="14"/>
    </row>
    <row r="524">
      <c r="D524" s="14"/>
      <c r="F524" s="14"/>
    </row>
    <row r="525">
      <c r="D525" s="14"/>
      <c r="F525" s="14"/>
    </row>
    <row r="526">
      <c r="D526" s="14"/>
      <c r="F526" s="14"/>
    </row>
    <row r="527">
      <c r="D527" s="14"/>
      <c r="F527" s="14"/>
    </row>
    <row r="528">
      <c r="D528" s="14"/>
      <c r="F528" s="14"/>
    </row>
    <row r="529">
      <c r="D529" s="14"/>
      <c r="F529" s="14"/>
    </row>
    <row r="530">
      <c r="D530" s="14"/>
      <c r="F530" s="14"/>
    </row>
    <row r="531">
      <c r="D531" s="14"/>
      <c r="F531" s="14"/>
    </row>
    <row r="532">
      <c r="D532" s="14"/>
      <c r="F532" s="14"/>
    </row>
    <row r="533">
      <c r="D533" s="14"/>
      <c r="F533" s="14"/>
    </row>
    <row r="534">
      <c r="D534" s="14"/>
      <c r="F534" s="14"/>
    </row>
    <row r="535">
      <c r="D535" s="14"/>
      <c r="F535" s="14"/>
    </row>
    <row r="536">
      <c r="D536" s="14"/>
      <c r="F536" s="14"/>
    </row>
    <row r="537">
      <c r="D537" s="14"/>
      <c r="F537" s="14"/>
    </row>
    <row r="538">
      <c r="D538" s="14"/>
      <c r="F538" s="14"/>
    </row>
    <row r="539">
      <c r="D539" s="14"/>
      <c r="F539" s="14"/>
    </row>
    <row r="540">
      <c r="D540" s="14"/>
      <c r="F540" s="14"/>
    </row>
    <row r="541">
      <c r="D541" s="14"/>
      <c r="F541" s="14"/>
    </row>
    <row r="542">
      <c r="D542" s="14"/>
      <c r="F542" s="14"/>
    </row>
    <row r="543">
      <c r="D543" s="14"/>
      <c r="F543" s="14"/>
    </row>
    <row r="544">
      <c r="D544" s="14"/>
      <c r="F544" s="14"/>
    </row>
    <row r="545">
      <c r="D545" s="14"/>
      <c r="F545" s="14"/>
    </row>
    <row r="546">
      <c r="D546" s="14"/>
      <c r="F546" s="14"/>
    </row>
    <row r="547">
      <c r="D547" s="14"/>
      <c r="F547" s="14"/>
    </row>
    <row r="548">
      <c r="D548" s="14"/>
      <c r="F548" s="14"/>
    </row>
    <row r="549">
      <c r="D549" s="14"/>
      <c r="F549" s="14"/>
    </row>
    <row r="550">
      <c r="D550" s="14"/>
      <c r="F550" s="14"/>
    </row>
    <row r="551">
      <c r="D551" s="14"/>
      <c r="F551" s="14"/>
    </row>
    <row r="552">
      <c r="D552" s="14"/>
      <c r="F552" s="14"/>
    </row>
    <row r="553">
      <c r="D553" s="14"/>
      <c r="F553" s="14"/>
    </row>
    <row r="554">
      <c r="D554" s="14"/>
      <c r="F554" s="14"/>
    </row>
    <row r="555">
      <c r="D555" s="14"/>
      <c r="F555" s="14"/>
    </row>
    <row r="556">
      <c r="D556" s="14"/>
      <c r="F556" s="14"/>
    </row>
    <row r="557">
      <c r="D557" s="14"/>
      <c r="F557" s="14"/>
    </row>
    <row r="558">
      <c r="D558" s="14"/>
      <c r="F558" s="14"/>
    </row>
    <row r="559">
      <c r="D559" s="14"/>
      <c r="F559" s="14"/>
    </row>
    <row r="560">
      <c r="D560" s="14"/>
      <c r="F560" s="14"/>
    </row>
    <row r="561">
      <c r="D561" s="14"/>
      <c r="F561" s="14"/>
    </row>
    <row r="562">
      <c r="D562" s="14"/>
      <c r="F562" s="14"/>
    </row>
    <row r="563">
      <c r="D563" s="14"/>
      <c r="F563" s="14"/>
    </row>
    <row r="564">
      <c r="D564" s="14"/>
      <c r="F564" s="14"/>
    </row>
    <row r="565">
      <c r="D565" s="14"/>
      <c r="F565" s="14"/>
    </row>
    <row r="566">
      <c r="D566" s="14"/>
      <c r="F566" s="14"/>
    </row>
    <row r="567">
      <c r="D567" s="14"/>
      <c r="F567" s="14"/>
    </row>
    <row r="568">
      <c r="D568" s="14"/>
      <c r="F568" s="14"/>
    </row>
    <row r="569">
      <c r="D569" s="14"/>
      <c r="F569" s="14"/>
    </row>
    <row r="570">
      <c r="D570" s="14"/>
      <c r="F570" s="14"/>
    </row>
    <row r="571">
      <c r="D571" s="14"/>
      <c r="F571" s="14"/>
    </row>
    <row r="572">
      <c r="D572" s="14"/>
      <c r="F572" s="14"/>
    </row>
    <row r="573">
      <c r="D573" s="14"/>
      <c r="F573" s="14"/>
    </row>
    <row r="574">
      <c r="D574" s="14"/>
      <c r="F574" s="14"/>
    </row>
    <row r="575">
      <c r="D575" s="14"/>
      <c r="F575" s="14"/>
    </row>
    <row r="576">
      <c r="D576" s="14"/>
      <c r="F576" s="14"/>
    </row>
    <row r="577">
      <c r="D577" s="14"/>
      <c r="F577" s="14"/>
    </row>
    <row r="578">
      <c r="D578" s="14"/>
      <c r="F578" s="14"/>
    </row>
    <row r="579">
      <c r="D579" s="14"/>
      <c r="F579" s="14"/>
    </row>
    <row r="580">
      <c r="D580" s="14"/>
      <c r="F580" s="14"/>
    </row>
    <row r="581">
      <c r="D581" s="14"/>
      <c r="F581" s="14"/>
    </row>
    <row r="582">
      <c r="D582" s="14"/>
      <c r="F582" s="14"/>
    </row>
    <row r="583">
      <c r="D583" s="14"/>
      <c r="F583" s="14"/>
    </row>
    <row r="584">
      <c r="D584" s="14"/>
      <c r="F584" s="14"/>
    </row>
    <row r="585">
      <c r="D585" s="14"/>
      <c r="F585" s="14"/>
    </row>
    <row r="586">
      <c r="D586" s="14"/>
      <c r="F586" s="14"/>
    </row>
    <row r="587">
      <c r="D587" s="14"/>
      <c r="F587" s="14"/>
    </row>
    <row r="588">
      <c r="D588" s="14"/>
      <c r="F588" s="14"/>
    </row>
    <row r="589">
      <c r="D589" s="14"/>
      <c r="F589" s="14"/>
    </row>
    <row r="590">
      <c r="D590" s="14"/>
      <c r="F590" s="14"/>
    </row>
    <row r="591">
      <c r="D591" s="14"/>
      <c r="F591" s="14"/>
    </row>
    <row r="592">
      <c r="D592" s="14"/>
      <c r="F592" s="14"/>
    </row>
    <row r="593">
      <c r="D593" s="14"/>
      <c r="F593" s="14"/>
    </row>
    <row r="594">
      <c r="D594" s="14"/>
      <c r="F594" s="14"/>
    </row>
    <row r="595">
      <c r="D595" s="14"/>
      <c r="F595" s="14"/>
    </row>
    <row r="596">
      <c r="D596" s="14"/>
      <c r="F596" s="14"/>
    </row>
    <row r="597">
      <c r="D597" s="14"/>
      <c r="F597" s="14"/>
    </row>
    <row r="598">
      <c r="D598" s="14"/>
      <c r="F598" s="14"/>
    </row>
    <row r="599">
      <c r="D599" s="14"/>
      <c r="F599" s="14"/>
    </row>
    <row r="600">
      <c r="D600" s="14"/>
      <c r="F600" s="14"/>
    </row>
    <row r="601">
      <c r="D601" s="14"/>
      <c r="F601" s="14"/>
    </row>
    <row r="602">
      <c r="D602" s="14"/>
      <c r="F602" s="14"/>
    </row>
    <row r="603">
      <c r="D603" s="14"/>
      <c r="F603" s="14"/>
    </row>
    <row r="604">
      <c r="D604" s="14"/>
      <c r="F604" s="14"/>
    </row>
    <row r="605">
      <c r="D605" s="14"/>
      <c r="F605" s="14"/>
    </row>
    <row r="606">
      <c r="D606" s="14"/>
      <c r="F606" s="14"/>
    </row>
    <row r="607">
      <c r="D607" s="14"/>
      <c r="F607" s="14"/>
    </row>
    <row r="608">
      <c r="D608" s="14"/>
      <c r="F608" s="14"/>
    </row>
    <row r="609">
      <c r="D609" s="14"/>
      <c r="F609" s="14"/>
    </row>
    <row r="610">
      <c r="D610" s="14"/>
      <c r="F610" s="14"/>
    </row>
    <row r="611">
      <c r="D611" s="14"/>
      <c r="F611" s="14"/>
    </row>
    <row r="612">
      <c r="D612" s="14"/>
      <c r="F612" s="14"/>
    </row>
    <row r="613">
      <c r="D613" s="14"/>
      <c r="F613" s="14"/>
    </row>
    <row r="614">
      <c r="D614" s="14"/>
      <c r="F614" s="14"/>
    </row>
    <row r="615">
      <c r="D615" s="14"/>
      <c r="F615" s="14"/>
    </row>
    <row r="616">
      <c r="D616" s="14"/>
      <c r="F616" s="14"/>
    </row>
    <row r="617">
      <c r="D617" s="14"/>
      <c r="F617" s="14"/>
    </row>
    <row r="618">
      <c r="D618" s="14"/>
      <c r="F618" s="14"/>
    </row>
    <row r="619">
      <c r="D619" s="14"/>
      <c r="F619" s="14"/>
    </row>
    <row r="620">
      <c r="D620" s="14"/>
      <c r="F620" s="14"/>
    </row>
    <row r="621">
      <c r="D621" s="14"/>
      <c r="F621" s="14"/>
    </row>
    <row r="622">
      <c r="D622" s="14"/>
      <c r="F622" s="14"/>
    </row>
    <row r="623">
      <c r="D623" s="14"/>
      <c r="F623" s="14"/>
    </row>
    <row r="624">
      <c r="D624" s="14"/>
      <c r="F624" s="14"/>
    </row>
    <row r="625">
      <c r="D625" s="14"/>
      <c r="F625" s="14"/>
    </row>
    <row r="626">
      <c r="D626" s="14"/>
      <c r="F626" s="14"/>
    </row>
    <row r="627">
      <c r="D627" s="14"/>
      <c r="F627" s="14"/>
    </row>
    <row r="628">
      <c r="D628" s="14"/>
      <c r="F628" s="14"/>
    </row>
    <row r="629">
      <c r="D629" s="14"/>
      <c r="F629" s="14"/>
    </row>
    <row r="630">
      <c r="D630" s="14"/>
      <c r="F630" s="14"/>
    </row>
    <row r="631">
      <c r="D631" s="14"/>
      <c r="F631" s="14"/>
    </row>
    <row r="632">
      <c r="D632" s="14"/>
      <c r="F632" s="14"/>
    </row>
    <row r="633">
      <c r="D633" s="14"/>
      <c r="F633" s="14"/>
    </row>
    <row r="634">
      <c r="D634" s="14"/>
      <c r="F634" s="14"/>
    </row>
    <row r="635">
      <c r="D635" s="14"/>
      <c r="F635" s="14"/>
    </row>
    <row r="636">
      <c r="D636" s="14"/>
      <c r="F636" s="14"/>
    </row>
    <row r="637">
      <c r="D637" s="14"/>
      <c r="F637" s="14"/>
    </row>
    <row r="638">
      <c r="D638" s="14"/>
      <c r="F638" s="14"/>
    </row>
    <row r="639">
      <c r="D639" s="14"/>
      <c r="F639" s="14"/>
    </row>
    <row r="640">
      <c r="D640" s="14"/>
      <c r="F640" s="14"/>
    </row>
    <row r="641">
      <c r="D641" s="14"/>
      <c r="F641" s="14"/>
    </row>
    <row r="642">
      <c r="D642" s="14"/>
      <c r="F642" s="14"/>
    </row>
    <row r="643">
      <c r="D643" s="14"/>
      <c r="F643" s="14"/>
    </row>
    <row r="644">
      <c r="D644" s="14"/>
      <c r="F644" s="14"/>
    </row>
    <row r="645">
      <c r="D645" s="14"/>
      <c r="F645" s="14"/>
    </row>
    <row r="646">
      <c r="D646" s="14"/>
      <c r="F646" s="14"/>
    </row>
    <row r="647">
      <c r="D647" s="14"/>
      <c r="F647" s="14"/>
    </row>
    <row r="648">
      <c r="D648" s="14"/>
      <c r="F648" s="14"/>
    </row>
    <row r="649">
      <c r="D649" s="14"/>
      <c r="F649" s="14"/>
    </row>
    <row r="650">
      <c r="D650" s="14"/>
      <c r="F650" s="14"/>
    </row>
    <row r="651">
      <c r="D651" s="14"/>
      <c r="F651" s="14"/>
    </row>
    <row r="652">
      <c r="D652" s="14"/>
      <c r="F652" s="14"/>
    </row>
    <row r="653">
      <c r="D653" s="14"/>
      <c r="F653" s="14"/>
    </row>
    <row r="654">
      <c r="D654" s="14"/>
      <c r="F654" s="14"/>
    </row>
    <row r="655">
      <c r="D655" s="14"/>
      <c r="F655" s="14"/>
    </row>
    <row r="656">
      <c r="D656" s="14"/>
      <c r="F656" s="14"/>
    </row>
    <row r="657">
      <c r="D657" s="14"/>
      <c r="F657" s="14"/>
    </row>
    <row r="658">
      <c r="D658" s="14"/>
      <c r="F658" s="14"/>
    </row>
    <row r="659">
      <c r="D659" s="14"/>
      <c r="F659" s="14"/>
    </row>
    <row r="660">
      <c r="D660" s="14"/>
      <c r="F660" s="14"/>
    </row>
    <row r="661">
      <c r="D661" s="14"/>
      <c r="F661" s="14"/>
    </row>
    <row r="662">
      <c r="D662" s="14"/>
      <c r="F662" s="14"/>
    </row>
    <row r="663">
      <c r="D663" s="14"/>
      <c r="F663" s="14"/>
    </row>
    <row r="664">
      <c r="D664" s="14"/>
      <c r="F664" s="14"/>
    </row>
    <row r="665">
      <c r="D665" s="14"/>
      <c r="F665" s="14"/>
    </row>
    <row r="666">
      <c r="D666" s="14"/>
      <c r="F666" s="14"/>
    </row>
    <row r="667">
      <c r="D667" s="14"/>
      <c r="F667" s="14"/>
    </row>
    <row r="668">
      <c r="D668" s="14"/>
      <c r="F668" s="14"/>
    </row>
    <row r="669">
      <c r="D669" s="14"/>
      <c r="F669" s="14"/>
    </row>
    <row r="670">
      <c r="D670" s="14"/>
      <c r="F670" s="14"/>
    </row>
    <row r="671">
      <c r="D671" s="14"/>
      <c r="F671" s="14"/>
    </row>
    <row r="672">
      <c r="D672" s="14"/>
      <c r="F672" s="14"/>
    </row>
    <row r="673">
      <c r="D673" s="14"/>
      <c r="F673" s="14"/>
    </row>
    <row r="674">
      <c r="D674" s="14"/>
      <c r="F674" s="14"/>
    </row>
    <row r="675">
      <c r="D675" s="14"/>
      <c r="F675" s="14"/>
    </row>
    <row r="676">
      <c r="D676" s="14"/>
      <c r="F676" s="14"/>
    </row>
    <row r="677">
      <c r="D677" s="14"/>
      <c r="F677" s="14"/>
    </row>
    <row r="678">
      <c r="D678" s="14"/>
      <c r="F678" s="14"/>
    </row>
    <row r="679">
      <c r="D679" s="14"/>
      <c r="F679" s="14"/>
    </row>
    <row r="680">
      <c r="D680" s="14"/>
      <c r="F680" s="14"/>
    </row>
    <row r="681">
      <c r="D681" s="14"/>
      <c r="F681" s="14"/>
    </row>
    <row r="682">
      <c r="D682" s="14"/>
      <c r="F682" s="14"/>
    </row>
    <row r="683">
      <c r="D683" s="14"/>
      <c r="F683" s="14"/>
    </row>
    <row r="684">
      <c r="D684" s="14"/>
      <c r="F684" s="14"/>
    </row>
    <row r="685">
      <c r="D685" s="14"/>
      <c r="F685" s="14"/>
    </row>
    <row r="686">
      <c r="D686" s="14"/>
      <c r="F686" s="14"/>
    </row>
    <row r="687">
      <c r="D687" s="14"/>
      <c r="F687" s="14"/>
    </row>
    <row r="688">
      <c r="D688" s="14"/>
      <c r="F688" s="14"/>
    </row>
    <row r="689">
      <c r="D689" s="14"/>
      <c r="F689" s="14"/>
    </row>
    <row r="690">
      <c r="D690" s="14"/>
      <c r="F690" s="14"/>
    </row>
    <row r="691">
      <c r="D691" s="14"/>
      <c r="F691" s="14"/>
    </row>
    <row r="692">
      <c r="D692" s="14"/>
      <c r="F692" s="14"/>
    </row>
    <row r="693">
      <c r="D693" s="14"/>
      <c r="F693" s="14"/>
    </row>
    <row r="694">
      <c r="D694" s="14"/>
      <c r="F694" s="14"/>
    </row>
    <row r="695">
      <c r="D695" s="14"/>
      <c r="F695" s="14"/>
    </row>
    <row r="696">
      <c r="D696" s="14"/>
      <c r="F696" s="14"/>
    </row>
    <row r="697">
      <c r="D697" s="14"/>
      <c r="F697" s="14"/>
    </row>
    <row r="698">
      <c r="D698" s="14"/>
      <c r="F698" s="14"/>
    </row>
    <row r="699">
      <c r="D699" s="14"/>
      <c r="F699" s="14"/>
    </row>
    <row r="700">
      <c r="D700" s="14"/>
      <c r="F700" s="14"/>
    </row>
    <row r="701">
      <c r="D701" s="14"/>
      <c r="F701" s="14"/>
    </row>
    <row r="702">
      <c r="D702" s="14"/>
      <c r="F702" s="14"/>
    </row>
    <row r="703">
      <c r="D703" s="14"/>
      <c r="F703" s="14"/>
    </row>
    <row r="704">
      <c r="D704" s="14"/>
      <c r="F704" s="14"/>
    </row>
    <row r="705">
      <c r="D705" s="14"/>
      <c r="F705" s="14"/>
    </row>
    <row r="706">
      <c r="D706" s="14"/>
      <c r="F706" s="14"/>
    </row>
    <row r="707">
      <c r="D707" s="14"/>
      <c r="F707" s="14"/>
    </row>
    <row r="708">
      <c r="D708" s="14"/>
      <c r="F708" s="14"/>
    </row>
    <row r="709">
      <c r="D709" s="14"/>
      <c r="F709" s="14"/>
    </row>
    <row r="710">
      <c r="D710" s="14"/>
      <c r="F710" s="14"/>
    </row>
    <row r="711">
      <c r="D711" s="14"/>
      <c r="F711" s="14"/>
    </row>
    <row r="712">
      <c r="D712" s="14"/>
      <c r="F712" s="14"/>
    </row>
    <row r="713">
      <c r="D713" s="14"/>
      <c r="F713" s="14"/>
    </row>
    <row r="714">
      <c r="D714" s="14"/>
      <c r="F714" s="14"/>
    </row>
    <row r="715">
      <c r="D715" s="14"/>
      <c r="F715" s="14"/>
    </row>
    <row r="716">
      <c r="D716" s="14"/>
      <c r="F716" s="14"/>
    </row>
    <row r="717">
      <c r="D717" s="14"/>
      <c r="F717" s="14"/>
    </row>
    <row r="718">
      <c r="D718" s="14"/>
      <c r="F718" s="14"/>
    </row>
    <row r="719">
      <c r="D719" s="14"/>
      <c r="F719" s="14"/>
    </row>
    <row r="720">
      <c r="D720" s="14"/>
      <c r="F720" s="14"/>
    </row>
    <row r="721">
      <c r="D721" s="14"/>
      <c r="F721" s="14"/>
    </row>
    <row r="722">
      <c r="D722" s="14"/>
      <c r="F722" s="14"/>
    </row>
    <row r="723">
      <c r="D723" s="14"/>
      <c r="F723" s="14"/>
    </row>
    <row r="724">
      <c r="D724" s="14"/>
      <c r="F724" s="14"/>
    </row>
    <row r="725">
      <c r="D725" s="14"/>
      <c r="F725" s="14"/>
    </row>
    <row r="726">
      <c r="D726" s="14"/>
      <c r="F726" s="14"/>
    </row>
    <row r="727">
      <c r="D727" s="14"/>
      <c r="F727" s="14"/>
    </row>
    <row r="728">
      <c r="D728" s="14"/>
      <c r="F728" s="14"/>
    </row>
    <row r="729">
      <c r="D729" s="14"/>
      <c r="F729" s="14"/>
    </row>
    <row r="730">
      <c r="D730" s="14"/>
      <c r="F730" s="14"/>
    </row>
    <row r="731">
      <c r="D731" s="14"/>
      <c r="F731" s="14"/>
    </row>
    <row r="732">
      <c r="D732" s="14"/>
      <c r="F732" s="14"/>
    </row>
    <row r="733">
      <c r="D733" s="14"/>
      <c r="F733" s="14"/>
    </row>
    <row r="734">
      <c r="D734" s="14"/>
      <c r="F734" s="14"/>
    </row>
    <row r="735">
      <c r="D735" s="14"/>
      <c r="F735" s="14"/>
    </row>
    <row r="736">
      <c r="D736" s="14"/>
      <c r="F736" s="14"/>
    </row>
    <row r="737">
      <c r="D737" s="14"/>
      <c r="F737" s="14"/>
    </row>
    <row r="738">
      <c r="D738" s="14"/>
      <c r="F738" s="14"/>
    </row>
    <row r="739">
      <c r="D739" s="14"/>
      <c r="F739" s="14"/>
    </row>
    <row r="740">
      <c r="D740" s="14"/>
      <c r="F740" s="14"/>
    </row>
    <row r="741">
      <c r="D741" s="14"/>
      <c r="F741" s="14"/>
    </row>
    <row r="742">
      <c r="D742" s="14"/>
      <c r="F742" s="14"/>
    </row>
    <row r="743">
      <c r="D743" s="14"/>
      <c r="F743" s="14"/>
    </row>
    <row r="744">
      <c r="D744" s="14"/>
      <c r="F744" s="14"/>
    </row>
    <row r="745">
      <c r="D745" s="14"/>
      <c r="F745" s="14"/>
    </row>
    <row r="746">
      <c r="D746" s="14"/>
      <c r="F746" s="14"/>
    </row>
    <row r="747">
      <c r="D747" s="14"/>
      <c r="F747" s="14"/>
    </row>
    <row r="748">
      <c r="D748" s="14"/>
      <c r="F748" s="14"/>
    </row>
    <row r="749">
      <c r="D749" s="14"/>
      <c r="F749" s="14"/>
    </row>
    <row r="750">
      <c r="D750" s="14"/>
      <c r="F750" s="14"/>
    </row>
    <row r="751">
      <c r="D751" s="14"/>
      <c r="F751" s="14"/>
    </row>
    <row r="752">
      <c r="D752" s="14"/>
      <c r="F752" s="14"/>
    </row>
    <row r="753">
      <c r="D753" s="14"/>
      <c r="F753" s="14"/>
    </row>
    <row r="754">
      <c r="D754" s="14"/>
      <c r="F754" s="14"/>
    </row>
    <row r="755">
      <c r="D755" s="14"/>
      <c r="F755" s="14"/>
    </row>
    <row r="756">
      <c r="D756" s="14"/>
      <c r="F756" s="14"/>
    </row>
    <row r="757">
      <c r="D757" s="14"/>
      <c r="F757" s="14"/>
    </row>
    <row r="758">
      <c r="D758" s="14"/>
      <c r="F758" s="14"/>
    </row>
    <row r="759">
      <c r="D759" s="14"/>
      <c r="F759" s="14"/>
    </row>
    <row r="760">
      <c r="D760" s="14"/>
      <c r="F760" s="14"/>
    </row>
    <row r="761">
      <c r="D761" s="14"/>
      <c r="F761" s="14"/>
    </row>
    <row r="762">
      <c r="D762" s="14"/>
      <c r="F762" s="14"/>
    </row>
    <row r="763">
      <c r="D763" s="14"/>
      <c r="F763" s="14"/>
    </row>
    <row r="764">
      <c r="D764" s="14"/>
      <c r="F764" s="14"/>
    </row>
    <row r="765">
      <c r="D765" s="14"/>
      <c r="F765" s="14"/>
    </row>
    <row r="766">
      <c r="D766" s="14"/>
      <c r="F766" s="14"/>
    </row>
    <row r="767">
      <c r="D767" s="14"/>
      <c r="F767" s="14"/>
    </row>
    <row r="768">
      <c r="D768" s="14"/>
      <c r="F768" s="14"/>
    </row>
    <row r="769">
      <c r="D769" s="14"/>
      <c r="F769" s="14"/>
    </row>
    <row r="770">
      <c r="D770" s="14"/>
      <c r="F770" s="14"/>
    </row>
    <row r="771">
      <c r="D771" s="14"/>
      <c r="F771" s="14"/>
    </row>
    <row r="772">
      <c r="D772" s="14"/>
      <c r="F772" s="14"/>
    </row>
    <row r="773">
      <c r="D773" s="14"/>
      <c r="F773" s="14"/>
    </row>
    <row r="774">
      <c r="D774" s="14"/>
      <c r="F774" s="14"/>
    </row>
    <row r="775">
      <c r="D775" s="14"/>
      <c r="F775" s="14"/>
    </row>
    <row r="776">
      <c r="D776" s="14"/>
      <c r="F776" s="14"/>
    </row>
    <row r="777">
      <c r="D777" s="14"/>
      <c r="F777" s="14"/>
    </row>
    <row r="778">
      <c r="D778" s="14"/>
      <c r="F778" s="14"/>
    </row>
    <row r="779">
      <c r="D779" s="14"/>
      <c r="F779" s="14"/>
    </row>
    <row r="780">
      <c r="D780" s="14"/>
      <c r="F780" s="14"/>
    </row>
    <row r="781">
      <c r="D781" s="14"/>
      <c r="F781" s="14"/>
    </row>
    <row r="782">
      <c r="D782" s="14"/>
      <c r="F782" s="14"/>
    </row>
    <row r="783">
      <c r="D783" s="14"/>
      <c r="F783" s="14"/>
    </row>
    <row r="784">
      <c r="D784" s="14"/>
      <c r="F784" s="14"/>
    </row>
    <row r="785">
      <c r="D785" s="14"/>
      <c r="F785" s="14"/>
    </row>
    <row r="786">
      <c r="D786" s="14"/>
      <c r="F786" s="14"/>
    </row>
    <row r="787">
      <c r="D787" s="14"/>
      <c r="F787" s="14"/>
    </row>
    <row r="788">
      <c r="D788" s="14"/>
      <c r="F788" s="14"/>
    </row>
    <row r="789">
      <c r="D789" s="14"/>
      <c r="F789" s="14"/>
    </row>
    <row r="790">
      <c r="D790" s="14"/>
      <c r="F790" s="14"/>
    </row>
    <row r="791">
      <c r="D791" s="14"/>
      <c r="F791" s="14"/>
    </row>
    <row r="792">
      <c r="D792" s="14"/>
      <c r="F792" s="14"/>
    </row>
    <row r="793">
      <c r="D793" s="14"/>
      <c r="F793" s="14"/>
    </row>
    <row r="794">
      <c r="D794" s="14"/>
      <c r="F794" s="14"/>
    </row>
    <row r="795">
      <c r="D795" s="14"/>
      <c r="F795" s="14"/>
    </row>
    <row r="796">
      <c r="D796" s="14"/>
      <c r="F796" s="14"/>
    </row>
    <row r="797">
      <c r="D797" s="14"/>
      <c r="F797" s="14"/>
    </row>
    <row r="798">
      <c r="D798" s="14"/>
      <c r="F798" s="14"/>
    </row>
    <row r="799">
      <c r="D799" s="14"/>
      <c r="F799" s="14"/>
    </row>
    <row r="800">
      <c r="D800" s="14"/>
      <c r="F800" s="14"/>
    </row>
    <row r="801">
      <c r="D801" s="14"/>
      <c r="F801" s="14"/>
    </row>
    <row r="802">
      <c r="D802" s="14"/>
      <c r="F802" s="14"/>
    </row>
    <row r="803">
      <c r="D803" s="14"/>
      <c r="F803" s="14"/>
    </row>
    <row r="804">
      <c r="D804" s="14"/>
      <c r="F804" s="14"/>
    </row>
    <row r="805">
      <c r="D805" s="14"/>
      <c r="F805" s="14"/>
    </row>
    <row r="806">
      <c r="D806" s="14"/>
      <c r="F806" s="14"/>
    </row>
    <row r="807">
      <c r="D807" s="14"/>
      <c r="F807" s="14"/>
    </row>
    <row r="808">
      <c r="D808" s="14"/>
      <c r="F808" s="14"/>
    </row>
    <row r="809">
      <c r="D809" s="14"/>
      <c r="F809" s="14"/>
    </row>
    <row r="810">
      <c r="D810" s="14"/>
      <c r="F810" s="14"/>
    </row>
    <row r="811">
      <c r="D811" s="14"/>
      <c r="F811" s="14"/>
    </row>
    <row r="812">
      <c r="D812" s="14"/>
      <c r="F812" s="14"/>
    </row>
    <row r="813">
      <c r="D813" s="14"/>
      <c r="F813" s="14"/>
    </row>
    <row r="814">
      <c r="D814" s="14"/>
      <c r="F814" s="14"/>
    </row>
    <row r="815">
      <c r="D815" s="14"/>
      <c r="F815" s="14"/>
    </row>
    <row r="816">
      <c r="D816" s="14"/>
      <c r="F816" s="14"/>
    </row>
    <row r="817">
      <c r="D817" s="14"/>
      <c r="F817" s="14"/>
    </row>
    <row r="818">
      <c r="D818" s="14"/>
      <c r="F818" s="14"/>
    </row>
    <row r="819">
      <c r="D819" s="14"/>
      <c r="F819" s="14"/>
    </row>
    <row r="820">
      <c r="D820" s="14"/>
      <c r="F820" s="14"/>
    </row>
    <row r="821">
      <c r="D821" s="14"/>
      <c r="F821" s="14"/>
    </row>
    <row r="822">
      <c r="D822" s="14"/>
      <c r="F822" s="14"/>
    </row>
    <row r="823">
      <c r="D823" s="14"/>
      <c r="F823" s="14"/>
    </row>
    <row r="824">
      <c r="D824" s="14"/>
      <c r="F824" s="14"/>
    </row>
    <row r="825">
      <c r="D825" s="14"/>
      <c r="F825" s="14"/>
    </row>
    <row r="826">
      <c r="D826" s="14"/>
      <c r="F826" s="14"/>
    </row>
    <row r="827">
      <c r="D827" s="14"/>
      <c r="F827" s="14"/>
    </row>
    <row r="828">
      <c r="D828" s="14"/>
      <c r="F828" s="14"/>
    </row>
    <row r="829">
      <c r="D829" s="14"/>
      <c r="F829" s="14"/>
    </row>
    <row r="830">
      <c r="D830" s="14"/>
      <c r="F830" s="14"/>
    </row>
    <row r="831">
      <c r="D831" s="14"/>
      <c r="F831" s="14"/>
    </row>
    <row r="832">
      <c r="D832" s="14"/>
      <c r="F832" s="14"/>
    </row>
    <row r="833">
      <c r="D833" s="14"/>
      <c r="F833" s="14"/>
    </row>
    <row r="834">
      <c r="D834" s="14"/>
      <c r="F834" s="14"/>
    </row>
    <row r="835">
      <c r="D835" s="14"/>
      <c r="F835" s="14"/>
    </row>
    <row r="836">
      <c r="D836" s="14"/>
      <c r="F836" s="14"/>
    </row>
    <row r="837">
      <c r="D837" s="14"/>
      <c r="F837" s="14"/>
    </row>
    <row r="838">
      <c r="D838" s="14"/>
      <c r="F838" s="14"/>
    </row>
    <row r="839">
      <c r="D839" s="14"/>
      <c r="F839" s="14"/>
    </row>
    <row r="840">
      <c r="D840" s="14"/>
      <c r="F840" s="14"/>
    </row>
    <row r="841">
      <c r="D841" s="14"/>
      <c r="F841" s="14"/>
    </row>
    <row r="842">
      <c r="D842" s="14"/>
      <c r="F842" s="14"/>
    </row>
    <row r="843">
      <c r="D843" s="14"/>
      <c r="F843" s="14"/>
    </row>
    <row r="844">
      <c r="D844" s="14"/>
      <c r="F844" s="14"/>
    </row>
    <row r="845">
      <c r="D845" s="14"/>
      <c r="F845" s="14"/>
    </row>
    <row r="846">
      <c r="D846" s="14"/>
      <c r="F846" s="14"/>
    </row>
    <row r="847">
      <c r="D847" s="14"/>
      <c r="F847" s="14"/>
    </row>
    <row r="848">
      <c r="D848" s="14"/>
      <c r="F848" s="14"/>
    </row>
    <row r="849">
      <c r="D849" s="14"/>
      <c r="F849" s="14"/>
    </row>
    <row r="850">
      <c r="D850" s="14"/>
      <c r="F850" s="14"/>
    </row>
    <row r="851">
      <c r="D851" s="14"/>
      <c r="F851" s="14"/>
    </row>
    <row r="852">
      <c r="D852" s="14"/>
      <c r="F852" s="14"/>
    </row>
    <row r="853">
      <c r="D853" s="14"/>
      <c r="F853" s="14"/>
    </row>
    <row r="854">
      <c r="D854" s="14"/>
      <c r="F854" s="14"/>
    </row>
    <row r="855">
      <c r="D855" s="14"/>
      <c r="F855" s="14"/>
    </row>
    <row r="856">
      <c r="D856" s="14"/>
      <c r="F856" s="14"/>
    </row>
    <row r="857">
      <c r="D857" s="14"/>
      <c r="F857" s="14"/>
    </row>
    <row r="858">
      <c r="D858" s="14"/>
      <c r="F858" s="14"/>
    </row>
    <row r="859">
      <c r="D859" s="14"/>
      <c r="F859" s="14"/>
    </row>
    <row r="860">
      <c r="D860" s="14"/>
      <c r="F860" s="14"/>
    </row>
    <row r="861">
      <c r="D861" s="14"/>
      <c r="F861" s="14"/>
    </row>
    <row r="862">
      <c r="D862" s="14"/>
      <c r="F862" s="14"/>
    </row>
    <row r="863">
      <c r="D863" s="14"/>
      <c r="F863" s="14"/>
    </row>
    <row r="864">
      <c r="D864" s="14"/>
      <c r="F864" s="14"/>
    </row>
    <row r="865">
      <c r="D865" s="14"/>
      <c r="F865" s="14"/>
    </row>
    <row r="866">
      <c r="D866" s="14"/>
      <c r="F866" s="14"/>
    </row>
    <row r="867">
      <c r="D867" s="14"/>
      <c r="F867" s="14"/>
    </row>
    <row r="868">
      <c r="D868" s="14"/>
      <c r="F868" s="14"/>
    </row>
    <row r="869">
      <c r="D869" s="14"/>
      <c r="F869" s="14"/>
    </row>
    <row r="870">
      <c r="D870" s="14"/>
      <c r="F870" s="14"/>
    </row>
    <row r="871">
      <c r="D871" s="14"/>
      <c r="F871" s="14"/>
    </row>
    <row r="872">
      <c r="D872" s="14"/>
      <c r="F872" s="14"/>
    </row>
    <row r="873">
      <c r="D873" s="14"/>
      <c r="F873" s="14"/>
    </row>
    <row r="874">
      <c r="D874" s="14"/>
      <c r="F874" s="14"/>
    </row>
    <row r="875">
      <c r="D875" s="14"/>
      <c r="F875" s="14"/>
    </row>
    <row r="876">
      <c r="D876" s="14"/>
      <c r="F876" s="14"/>
    </row>
    <row r="877">
      <c r="D877" s="14"/>
      <c r="F877" s="14"/>
    </row>
    <row r="878">
      <c r="D878" s="14"/>
      <c r="F878" s="14"/>
    </row>
    <row r="879">
      <c r="D879" s="14"/>
      <c r="F879" s="14"/>
    </row>
    <row r="880">
      <c r="D880" s="14"/>
      <c r="F880" s="14"/>
    </row>
    <row r="881">
      <c r="D881" s="14"/>
      <c r="F881" s="14"/>
    </row>
    <row r="882">
      <c r="D882" s="14"/>
      <c r="F882" s="14"/>
    </row>
    <row r="883">
      <c r="D883" s="14"/>
      <c r="F883" s="14"/>
    </row>
    <row r="884">
      <c r="D884" s="14"/>
      <c r="F884" s="14"/>
    </row>
    <row r="885">
      <c r="D885" s="14"/>
      <c r="F885" s="14"/>
    </row>
    <row r="886">
      <c r="D886" s="14"/>
      <c r="F886" s="14"/>
    </row>
    <row r="887">
      <c r="D887" s="14"/>
      <c r="F887" s="14"/>
    </row>
    <row r="888">
      <c r="D888" s="14"/>
      <c r="F888" s="14"/>
    </row>
    <row r="889">
      <c r="D889" s="14"/>
      <c r="F889" s="14"/>
    </row>
    <row r="890">
      <c r="D890" s="14"/>
      <c r="F890" s="14"/>
    </row>
    <row r="891">
      <c r="D891" s="14"/>
      <c r="F891" s="14"/>
    </row>
    <row r="892">
      <c r="D892" s="14"/>
      <c r="F892" s="14"/>
    </row>
    <row r="893">
      <c r="D893" s="14"/>
      <c r="F893" s="14"/>
    </row>
    <row r="894">
      <c r="D894" s="14"/>
      <c r="F894" s="14"/>
    </row>
    <row r="895">
      <c r="D895" s="14"/>
      <c r="F895" s="14"/>
    </row>
    <row r="896">
      <c r="D896" s="14"/>
      <c r="F896" s="14"/>
    </row>
    <row r="897">
      <c r="D897" s="14"/>
      <c r="F897" s="14"/>
    </row>
    <row r="898">
      <c r="D898" s="14"/>
      <c r="F898" s="14"/>
    </row>
    <row r="899">
      <c r="D899" s="14"/>
      <c r="F899" s="14"/>
    </row>
    <row r="900">
      <c r="D900" s="14"/>
      <c r="F900" s="14"/>
    </row>
    <row r="901">
      <c r="D901" s="14"/>
      <c r="F901" s="14"/>
    </row>
    <row r="902">
      <c r="D902" s="14"/>
      <c r="F902" s="14"/>
    </row>
    <row r="903">
      <c r="D903" s="14"/>
      <c r="F903" s="14"/>
    </row>
    <row r="904">
      <c r="D904" s="14"/>
      <c r="F904" s="14"/>
    </row>
    <row r="905">
      <c r="D905" s="14"/>
      <c r="F905" s="14"/>
    </row>
    <row r="906">
      <c r="D906" s="14"/>
      <c r="F906" s="14"/>
    </row>
    <row r="907">
      <c r="D907" s="14"/>
      <c r="F907" s="14"/>
    </row>
    <row r="908">
      <c r="D908" s="14"/>
      <c r="F908" s="14"/>
    </row>
    <row r="909">
      <c r="D909" s="14"/>
      <c r="F909" s="14"/>
    </row>
    <row r="910">
      <c r="D910" s="14"/>
      <c r="F910" s="14"/>
    </row>
    <row r="911">
      <c r="D911" s="14"/>
      <c r="F911" s="14"/>
    </row>
    <row r="912">
      <c r="D912" s="14"/>
      <c r="F912" s="14"/>
    </row>
    <row r="913">
      <c r="D913" s="14"/>
      <c r="F913" s="14"/>
    </row>
    <row r="914">
      <c r="D914" s="14"/>
      <c r="F914" s="14"/>
    </row>
    <row r="915">
      <c r="D915" s="14"/>
      <c r="F915" s="14"/>
    </row>
    <row r="916">
      <c r="D916" s="14"/>
      <c r="F916" s="14"/>
    </row>
    <row r="917">
      <c r="D917" s="14"/>
      <c r="F917" s="14"/>
    </row>
    <row r="918">
      <c r="D918" s="14"/>
      <c r="F918" s="14"/>
    </row>
    <row r="919">
      <c r="D919" s="14"/>
      <c r="F919" s="14"/>
    </row>
    <row r="920">
      <c r="D920" s="14"/>
      <c r="F920" s="14"/>
    </row>
    <row r="921">
      <c r="D921" s="14"/>
      <c r="F921" s="14"/>
    </row>
    <row r="922">
      <c r="D922" s="14"/>
      <c r="F922" s="14"/>
    </row>
    <row r="923">
      <c r="D923" s="14"/>
      <c r="F923" s="14"/>
    </row>
    <row r="924">
      <c r="D924" s="14"/>
      <c r="F924" s="14"/>
    </row>
    <row r="925">
      <c r="D925" s="14"/>
      <c r="F925" s="14"/>
    </row>
    <row r="926">
      <c r="D926" s="14"/>
      <c r="F926" s="14"/>
    </row>
    <row r="927">
      <c r="D927" s="14"/>
      <c r="F927" s="14"/>
    </row>
    <row r="928">
      <c r="D928" s="14"/>
      <c r="F928" s="14"/>
    </row>
    <row r="929">
      <c r="D929" s="14"/>
      <c r="F929" s="14"/>
    </row>
    <row r="930">
      <c r="D930" s="14"/>
      <c r="F930" s="14"/>
    </row>
    <row r="931">
      <c r="D931" s="14"/>
      <c r="F931" s="14"/>
    </row>
    <row r="932">
      <c r="D932" s="14"/>
      <c r="F932" s="14"/>
    </row>
    <row r="933">
      <c r="D933" s="14"/>
      <c r="F933" s="14"/>
    </row>
    <row r="934">
      <c r="D934" s="14"/>
      <c r="F934" s="14"/>
    </row>
    <row r="935">
      <c r="D935" s="14"/>
      <c r="F935" s="14"/>
    </row>
    <row r="936">
      <c r="D936" s="14"/>
      <c r="F936" s="14"/>
    </row>
    <row r="937">
      <c r="D937" s="14"/>
      <c r="F937" s="14"/>
    </row>
    <row r="938">
      <c r="D938" s="14"/>
      <c r="F938" s="14"/>
    </row>
    <row r="939">
      <c r="D939" s="14"/>
      <c r="F939" s="14"/>
    </row>
    <row r="940">
      <c r="D940" s="14"/>
      <c r="F940" s="14"/>
    </row>
    <row r="941">
      <c r="D941" s="14"/>
      <c r="F941" s="14"/>
    </row>
    <row r="942">
      <c r="D942" s="14"/>
      <c r="F942" s="14"/>
    </row>
    <row r="943">
      <c r="D943" s="14"/>
      <c r="F943" s="14"/>
    </row>
    <row r="944">
      <c r="D944" s="14"/>
      <c r="F944" s="14"/>
    </row>
    <row r="945">
      <c r="D945" s="14"/>
      <c r="F945" s="14"/>
    </row>
    <row r="946">
      <c r="D946" s="14"/>
      <c r="F946" s="14"/>
    </row>
    <row r="947">
      <c r="D947" s="14"/>
      <c r="F947" s="14"/>
    </row>
    <row r="948">
      <c r="D948" s="14"/>
      <c r="F948" s="14"/>
    </row>
    <row r="949">
      <c r="D949" s="14"/>
      <c r="F949" s="14"/>
    </row>
    <row r="950">
      <c r="D950" s="14"/>
      <c r="F950" s="14"/>
    </row>
    <row r="951">
      <c r="D951" s="14"/>
      <c r="F951" s="14"/>
    </row>
    <row r="952">
      <c r="D952" s="14"/>
      <c r="F952" s="14"/>
    </row>
    <row r="953">
      <c r="D953" s="14"/>
      <c r="F953" s="14"/>
    </row>
    <row r="954">
      <c r="D954" s="14"/>
      <c r="F954" s="14"/>
    </row>
    <row r="955">
      <c r="D955" s="14"/>
      <c r="F955" s="14"/>
    </row>
    <row r="956">
      <c r="D956" s="14"/>
      <c r="F956" s="14"/>
    </row>
    <row r="957">
      <c r="D957" s="14"/>
      <c r="F957" s="14"/>
    </row>
    <row r="958">
      <c r="D958" s="14"/>
      <c r="F958" s="14"/>
    </row>
    <row r="959">
      <c r="D959" s="14"/>
      <c r="F959" s="14"/>
    </row>
    <row r="960">
      <c r="D960" s="14"/>
      <c r="F960" s="14"/>
    </row>
    <row r="961">
      <c r="D961" s="14"/>
      <c r="F961" s="14"/>
    </row>
    <row r="962">
      <c r="D962" s="14"/>
      <c r="F962" s="14"/>
    </row>
    <row r="963">
      <c r="D963" s="14"/>
      <c r="F963" s="14"/>
    </row>
    <row r="964">
      <c r="D964" s="14"/>
      <c r="F964" s="14"/>
    </row>
    <row r="965">
      <c r="D965" s="14"/>
      <c r="F965" s="14"/>
    </row>
    <row r="966">
      <c r="D966" s="14"/>
      <c r="F966" s="14"/>
    </row>
    <row r="967">
      <c r="D967" s="14"/>
      <c r="F967" s="14"/>
    </row>
    <row r="968">
      <c r="D968" s="14"/>
      <c r="F968" s="14"/>
    </row>
    <row r="969">
      <c r="D969" s="14"/>
      <c r="F969" s="14"/>
    </row>
    <row r="970">
      <c r="D970" s="14"/>
      <c r="F970" s="14"/>
    </row>
    <row r="971">
      <c r="D971" s="14"/>
      <c r="F971" s="14"/>
    </row>
    <row r="972">
      <c r="D972" s="14"/>
      <c r="F972" s="14"/>
    </row>
    <row r="973">
      <c r="D973" s="14"/>
      <c r="F973" s="14"/>
    </row>
    <row r="974">
      <c r="D974" s="14"/>
      <c r="F974" s="14"/>
    </row>
    <row r="975">
      <c r="D975" s="14"/>
      <c r="F975" s="14"/>
    </row>
    <row r="976">
      <c r="D976" s="14"/>
      <c r="F976" s="14"/>
    </row>
    <row r="977">
      <c r="D977" s="14"/>
      <c r="F977" s="14"/>
    </row>
    <row r="978">
      <c r="D978" s="14"/>
      <c r="F978" s="14"/>
    </row>
    <row r="979">
      <c r="D979" s="14"/>
      <c r="F979" s="14"/>
    </row>
    <row r="980">
      <c r="D980" s="14"/>
      <c r="F980" s="14"/>
    </row>
    <row r="981">
      <c r="D981" s="14"/>
      <c r="F981" s="14"/>
    </row>
    <row r="982">
      <c r="D982" s="14"/>
      <c r="F982" s="14"/>
    </row>
    <row r="983">
      <c r="D983" s="14"/>
      <c r="F983" s="14"/>
    </row>
    <row r="984">
      <c r="D984" s="14"/>
      <c r="F984" s="14"/>
    </row>
    <row r="985">
      <c r="D985" s="14"/>
      <c r="F985" s="14"/>
    </row>
    <row r="986">
      <c r="D986" s="14"/>
      <c r="F986" s="14"/>
    </row>
    <row r="987">
      <c r="D987" s="14"/>
      <c r="F987" s="14"/>
    </row>
    <row r="988">
      <c r="D988" s="14"/>
      <c r="F988" s="14"/>
    </row>
    <row r="989">
      <c r="D989" s="14"/>
      <c r="F989" s="14"/>
    </row>
    <row r="990">
      <c r="D990" s="14"/>
      <c r="F990" s="14"/>
    </row>
    <row r="991">
      <c r="D991" s="14"/>
      <c r="F991" s="14"/>
    </row>
    <row r="992">
      <c r="D992" s="14"/>
      <c r="F992" s="14"/>
    </row>
    <row r="993">
      <c r="D993" s="14"/>
      <c r="F993" s="14"/>
    </row>
    <row r="994">
      <c r="D994" s="14"/>
      <c r="F994" s="14"/>
    </row>
    <row r="995">
      <c r="D995" s="14"/>
      <c r="F995" s="14"/>
    </row>
    <row r="996">
      <c r="D996" s="14"/>
      <c r="F996" s="14"/>
    </row>
    <row r="997">
      <c r="D997" s="14"/>
      <c r="F997" s="14"/>
    </row>
    <row r="998">
      <c r="D998" s="14"/>
      <c r="F998" s="14"/>
    </row>
  </sheetData>
  <mergeCells count="1">
    <mergeCell ref="D24:K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63"/>
    <col customWidth="1" min="3" max="3" width="16.25"/>
    <col customWidth="1" min="4" max="4" width="16.88"/>
    <col customWidth="1" min="5" max="5" width="13.38"/>
    <col customWidth="1" min="6" max="6" width="14.88"/>
    <col customWidth="1" min="8" max="8" width="12.5"/>
  </cols>
  <sheetData>
    <row r="1">
      <c r="A1" s="1" t="s">
        <v>0</v>
      </c>
      <c r="B1" s="1" t="s">
        <v>2</v>
      </c>
      <c r="C1" s="3" t="s">
        <v>3</v>
      </c>
      <c r="D1" s="3" t="s">
        <v>4</v>
      </c>
      <c r="E1" s="1" t="s">
        <v>5</v>
      </c>
      <c r="F1" s="3" t="s">
        <v>6</v>
      </c>
      <c r="J1" s="48" t="s">
        <v>207</v>
      </c>
    </row>
    <row r="2">
      <c r="A2" s="15" t="s">
        <v>8</v>
      </c>
      <c r="B2" s="1" t="s">
        <v>267</v>
      </c>
      <c r="C2" s="1" t="s">
        <v>268</v>
      </c>
      <c r="D2" s="1">
        <v>25000.0</v>
      </c>
      <c r="F2" s="3"/>
      <c r="J2" s="58">
        <v>0.3</v>
      </c>
    </row>
    <row r="3">
      <c r="A3" s="15" t="s">
        <v>8</v>
      </c>
      <c r="B3" s="1" t="s">
        <v>269</v>
      </c>
      <c r="C3" s="1" t="s">
        <v>268</v>
      </c>
      <c r="D3" s="1">
        <v>15000.0</v>
      </c>
      <c r="J3" s="58">
        <v>0.3</v>
      </c>
    </row>
    <row r="4">
      <c r="A4" s="15" t="s">
        <v>8</v>
      </c>
      <c r="B4" s="1" t="s">
        <v>269</v>
      </c>
      <c r="C4" s="1" t="s">
        <v>268</v>
      </c>
      <c r="D4" s="1">
        <v>60000.0</v>
      </c>
      <c r="J4" s="58">
        <v>0.3</v>
      </c>
    </row>
    <row r="5">
      <c r="A5" s="1" t="s">
        <v>14</v>
      </c>
      <c r="E5" s="1" t="s">
        <v>253</v>
      </c>
      <c r="F5" s="1">
        <v>20000.0</v>
      </c>
    </row>
    <row r="6">
      <c r="A6" s="1" t="s">
        <v>14</v>
      </c>
      <c r="E6" s="1" t="s">
        <v>270</v>
      </c>
      <c r="F6" s="1">
        <v>20000.0</v>
      </c>
    </row>
    <row r="7">
      <c r="A7" s="15" t="s">
        <v>8</v>
      </c>
      <c r="B7" s="1" t="s">
        <v>271</v>
      </c>
      <c r="C7" s="1" t="s">
        <v>268</v>
      </c>
      <c r="D7" s="1">
        <v>100000.0</v>
      </c>
      <c r="J7" s="58">
        <v>0.32</v>
      </c>
    </row>
    <row r="8">
      <c r="A8" s="1" t="s">
        <v>14</v>
      </c>
      <c r="E8" s="1" t="s">
        <v>272</v>
      </c>
      <c r="F8" s="1">
        <v>16000.0</v>
      </c>
    </row>
    <row r="9">
      <c r="A9" s="1" t="s">
        <v>14</v>
      </c>
      <c r="E9" s="1" t="s">
        <v>273</v>
      </c>
      <c r="F9" s="1">
        <v>32000.0</v>
      </c>
    </row>
    <row r="10">
      <c r="A10" s="1" t="s">
        <v>14</v>
      </c>
      <c r="E10" s="1" t="s">
        <v>274</v>
      </c>
      <c r="F10" s="1">
        <v>62000.0</v>
      </c>
    </row>
    <row r="11">
      <c r="A11" s="1" t="s">
        <v>14</v>
      </c>
      <c r="E11" s="1" t="s">
        <v>127</v>
      </c>
      <c r="F11" s="1">
        <v>30000.0</v>
      </c>
    </row>
    <row r="12">
      <c r="A12" s="1" t="s">
        <v>14</v>
      </c>
      <c r="E12" s="1" t="s">
        <v>127</v>
      </c>
      <c r="F12" s="1">
        <v>32000.0</v>
      </c>
    </row>
    <row r="13">
      <c r="A13" s="15" t="s">
        <v>8</v>
      </c>
      <c r="B13" s="1" t="s">
        <v>275</v>
      </c>
      <c r="C13" s="1" t="s">
        <v>268</v>
      </c>
      <c r="D13" s="1">
        <v>100000.0</v>
      </c>
      <c r="E13" s="1" t="s">
        <v>276</v>
      </c>
      <c r="F13" s="1">
        <v>32000.0</v>
      </c>
      <c r="G13" s="1" t="s">
        <v>277</v>
      </c>
    </row>
    <row r="14">
      <c r="A14" s="1" t="s">
        <v>14</v>
      </c>
      <c r="E14" s="1" t="s">
        <v>276</v>
      </c>
      <c r="F14" s="1">
        <v>30000.0</v>
      </c>
      <c r="G14" s="1" t="s">
        <v>277</v>
      </c>
    </row>
    <row r="15">
      <c r="A15" s="1" t="s">
        <v>14</v>
      </c>
      <c r="E15" s="1" t="s">
        <v>160</v>
      </c>
      <c r="F15" s="1">
        <v>30000.0</v>
      </c>
    </row>
    <row r="16">
      <c r="A16" s="1" t="s">
        <v>14</v>
      </c>
      <c r="E16" s="1" t="s">
        <v>278</v>
      </c>
      <c r="F16" s="1">
        <v>25000.0</v>
      </c>
    </row>
    <row r="17">
      <c r="A17" s="1" t="s">
        <v>14</v>
      </c>
      <c r="E17" s="1" t="s">
        <v>279</v>
      </c>
      <c r="F17" s="1">
        <v>30000.0</v>
      </c>
    </row>
    <row r="19">
      <c r="H19" s="1" t="s">
        <v>26</v>
      </c>
    </row>
    <row r="20">
      <c r="A20" s="20"/>
      <c r="B20" s="20"/>
      <c r="C20" s="20"/>
      <c r="D20" s="20">
        <f>SUM(D2:D18)</f>
        <v>300000</v>
      </c>
      <c r="E20" s="20"/>
      <c r="F20" s="12">
        <f>SUM(F2:F18)</f>
        <v>359000</v>
      </c>
      <c r="G20" s="20"/>
      <c r="H20" s="18">
        <f t="shared" ref="H20:H22" si="1">F20/D20</f>
        <v>1.196666667</v>
      </c>
      <c r="I20" s="20"/>
    </row>
    <row r="21">
      <c r="C21" s="1" t="s">
        <v>284</v>
      </c>
      <c r="D21" s="20">
        <f>'Jannesh krishnamurthi'!D36</f>
        <v>75000</v>
      </c>
      <c r="E21" s="20"/>
      <c r="F21" s="12">
        <f>'Jannesh krishnamurthi'!F36</f>
        <v>689875</v>
      </c>
      <c r="H21" s="18">
        <f t="shared" si="1"/>
        <v>9.198333333</v>
      </c>
    </row>
    <row r="22">
      <c r="C22" s="1" t="s">
        <v>286</v>
      </c>
      <c r="D22" s="19">
        <f>'Somaya Bg'!D16</f>
        <v>400000</v>
      </c>
      <c r="E22" s="20"/>
      <c r="F22" s="19">
        <f>'Somaya Bg'!F16</f>
        <v>340000</v>
      </c>
      <c r="H22" s="18">
        <f t="shared" si="1"/>
        <v>0.85</v>
      </c>
    </row>
    <row r="24">
      <c r="D24" s="20">
        <f>SUM(D20:D22)</f>
        <v>775000</v>
      </c>
      <c r="E24" s="20"/>
      <c r="F24" s="12">
        <f>SUM(F20:F22)</f>
        <v>1388875</v>
      </c>
      <c r="G24" s="20"/>
      <c r="H24" s="18">
        <f>F24/D24</f>
        <v>1.792096774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8.0"/>
    <col customWidth="1" min="4" max="4" width="18.25"/>
    <col customWidth="1" min="5" max="5" width="14.25"/>
    <col customWidth="1" min="6" max="6" width="15.88"/>
    <col customWidth="1" min="8" max="8" width="14.38"/>
    <col customWidth="1" min="10" max="10" width="4.38"/>
  </cols>
  <sheetData>
    <row r="1">
      <c r="A1" s="48" t="s">
        <v>0</v>
      </c>
      <c r="B1" s="48" t="s">
        <v>2</v>
      </c>
      <c r="C1" s="49" t="s">
        <v>3</v>
      </c>
      <c r="D1" s="49" t="s">
        <v>4</v>
      </c>
      <c r="E1" s="48" t="s">
        <v>5</v>
      </c>
      <c r="F1" s="49" t="s">
        <v>6</v>
      </c>
      <c r="G1" s="81"/>
      <c r="H1" s="81"/>
      <c r="I1" s="81"/>
      <c r="J1" s="48" t="s">
        <v>207</v>
      </c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1" t="s">
        <v>8</v>
      </c>
      <c r="B2" s="1" t="s">
        <v>280</v>
      </c>
      <c r="C2" s="1" t="s">
        <v>281</v>
      </c>
      <c r="D2" s="1">
        <v>25000.0</v>
      </c>
      <c r="F2" s="3"/>
      <c r="J2" s="58">
        <v>0.35</v>
      </c>
    </row>
    <row r="3">
      <c r="A3" s="1" t="s">
        <v>8</v>
      </c>
      <c r="B3" s="1" t="s">
        <v>282</v>
      </c>
      <c r="C3" s="1" t="s">
        <v>281</v>
      </c>
      <c r="D3" s="1">
        <v>50000.0</v>
      </c>
      <c r="J3" s="58">
        <v>0.3</v>
      </c>
      <c r="K3" s="17">
        <f>D3*J3</f>
        <v>15000</v>
      </c>
    </row>
    <row r="4">
      <c r="A4" s="1" t="s">
        <v>14</v>
      </c>
      <c r="E4" s="1" t="s">
        <v>283</v>
      </c>
      <c r="F4" s="1">
        <v>4375.0</v>
      </c>
      <c r="J4" s="20"/>
    </row>
    <row r="5">
      <c r="A5" s="1" t="s">
        <v>14</v>
      </c>
      <c r="E5" s="1" t="s">
        <v>285</v>
      </c>
      <c r="F5" s="1">
        <v>8750.0</v>
      </c>
      <c r="J5" s="20"/>
    </row>
    <row r="6">
      <c r="A6" s="1" t="s">
        <v>14</v>
      </c>
      <c r="E6" s="1" t="s">
        <v>253</v>
      </c>
      <c r="F6" s="1">
        <v>8750.0</v>
      </c>
      <c r="J6" s="20"/>
    </row>
    <row r="7">
      <c r="A7" s="1" t="s">
        <v>14</v>
      </c>
      <c r="E7" s="1" t="s">
        <v>253</v>
      </c>
      <c r="F7" s="1">
        <v>15000.0</v>
      </c>
      <c r="J7" s="20"/>
    </row>
    <row r="8">
      <c r="A8" s="1" t="s">
        <v>14</v>
      </c>
      <c r="E8" s="1" t="s">
        <v>272</v>
      </c>
      <c r="F8" s="1">
        <v>30000.0</v>
      </c>
      <c r="J8" s="20"/>
    </row>
    <row r="9">
      <c r="A9" s="1" t="s">
        <v>14</v>
      </c>
      <c r="E9" s="1" t="s">
        <v>172</v>
      </c>
      <c r="F9" s="1">
        <v>30000.0</v>
      </c>
      <c r="J9" s="20"/>
    </row>
    <row r="10">
      <c r="A10" s="1" t="s">
        <v>14</v>
      </c>
      <c r="E10" s="1" t="s">
        <v>273</v>
      </c>
      <c r="F10" s="1">
        <v>15000.0</v>
      </c>
      <c r="J10" s="20"/>
    </row>
    <row r="11">
      <c r="A11" s="1" t="s">
        <v>14</v>
      </c>
      <c r="E11" s="1" t="s">
        <v>273</v>
      </c>
      <c r="F11" s="1">
        <v>8750.0</v>
      </c>
      <c r="J11" s="20"/>
    </row>
    <row r="12">
      <c r="A12" s="1" t="s">
        <v>14</v>
      </c>
      <c r="E12" s="1" t="s">
        <v>125</v>
      </c>
      <c r="F12" s="1">
        <v>23750.0</v>
      </c>
      <c r="J12" s="20"/>
    </row>
    <row r="13">
      <c r="A13" s="1" t="s">
        <v>14</v>
      </c>
      <c r="E13" s="1" t="s">
        <v>274</v>
      </c>
      <c r="F13" s="1">
        <v>0.0</v>
      </c>
      <c r="G13" s="1">
        <v>60000.0</v>
      </c>
      <c r="H13" s="1" t="s">
        <v>287</v>
      </c>
      <c r="J13" s="20"/>
    </row>
    <row r="14">
      <c r="A14" s="1" t="s">
        <v>288</v>
      </c>
      <c r="E14" s="1" t="s">
        <v>39</v>
      </c>
      <c r="F14" s="1">
        <v>3000.0</v>
      </c>
      <c r="J14" s="20"/>
    </row>
    <row r="15">
      <c r="A15" s="1" t="s">
        <v>14</v>
      </c>
      <c r="E15" s="1" t="s">
        <v>289</v>
      </c>
      <c r="F15" s="1">
        <v>23750.0</v>
      </c>
      <c r="J15" s="20"/>
    </row>
    <row r="16">
      <c r="A16" s="1" t="s">
        <v>14</v>
      </c>
      <c r="E16" s="1" t="s">
        <v>276</v>
      </c>
      <c r="F16" s="1">
        <v>8750.0</v>
      </c>
      <c r="G16" s="15" t="s">
        <v>290</v>
      </c>
      <c r="J16" s="20"/>
    </row>
    <row r="17">
      <c r="A17" s="1" t="s">
        <v>14</v>
      </c>
      <c r="E17" s="1" t="s">
        <v>276</v>
      </c>
      <c r="F17" s="1">
        <v>15000.0</v>
      </c>
      <c r="G17" s="15" t="s">
        <v>290</v>
      </c>
      <c r="J17" s="20"/>
    </row>
    <row r="18">
      <c r="A18" s="1" t="s">
        <v>288</v>
      </c>
      <c r="E18" s="1" t="s">
        <v>291</v>
      </c>
      <c r="F18" s="1">
        <v>6000.0</v>
      </c>
      <c r="J18" s="20"/>
    </row>
    <row r="19">
      <c r="A19" s="1" t="s">
        <v>14</v>
      </c>
      <c r="E19" s="1" t="s">
        <v>160</v>
      </c>
      <c r="F19" s="1">
        <v>23750.0</v>
      </c>
      <c r="J19" s="20"/>
    </row>
    <row r="20">
      <c r="A20" s="1" t="s">
        <v>14</v>
      </c>
      <c r="E20" s="1" t="s">
        <v>292</v>
      </c>
      <c r="F20" s="1">
        <v>30000.0</v>
      </c>
      <c r="J20" s="20"/>
    </row>
    <row r="21">
      <c r="A21" s="1" t="s">
        <v>14</v>
      </c>
      <c r="E21" s="1" t="s">
        <v>293</v>
      </c>
      <c r="F21" s="1">
        <v>53750.0</v>
      </c>
      <c r="J21" s="20"/>
    </row>
    <row r="22">
      <c r="A22" s="1" t="s">
        <v>14</v>
      </c>
      <c r="E22" s="1" t="s">
        <v>294</v>
      </c>
      <c r="F22" s="1">
        <v>25000.0</v>
      </c>
      <c r="J22" s="20"/>
    </row>
    <row r="23">
      <c r="A23" s="1" t="s">
        <v>14</v>
      </c>
      <c r="E23" s="1" t="s">
        <v>240</v>
      </c>
      <c r="F23" s="1">
        <v>25000.0</v>
      </c>
      <c r="J23" s="20"/>
    </row>
    <row r="24">
      <c r="A24" s="1" t="s">
        <v>14</v>
      </c>
      <c r="E24" s="1" t="s">
        <v>295</v>
      </c>
      <c r="F24" s="1">
        <v>20000.0</v>
      </c>
      <c r="J24" s="20"/>
    </row>
    <row r="25">
      <c r="A25" s="1" t="s">
        <v>14</v>
      </c>
      <c r="E25" s="1" t="s">
        <v>296</v>
      </c>
      <c r="F25" s="1">
        <v>20000.0</v>
      </c>
      <c r="H25" s="1"/>
      <c r="J25" s="20"/>
    </row>
    <row r="26">
      <c r="A26" s="1" t="s">
        <v>14</v>
      </c>
      <c r="E26" s="1" t="s">
        <v>243</v>
      </c>
      <c r="F26" s="1">
        <v>100000.0</v>
      </c>
      <c r="H26" s="1"/>
      <c r="J26" s="20"/>
    </row>
    <row r="27">
      <c r="A27" s="1" t="s">
        <v>14</v>
      </c>
      <c r="E27" s="1" t="s">
        <v>297</v>
      </c>
      <c r="F27" s="1">
        <v>115750.0</v>
      </c>
      <c r="H27" s="1"/>
      <c r="J27" s="20"/>
    </row>
    <row r="28">
      <c r="A28" s="1" t="s">
        <v>288</v>
      </c>
      <c r="E28" s="1" t="s">
        <v>298</v>
      </c>
      <c r="F28" s="1">
        <v>22000.0</v>
      </c>
      <c r="H28" s="1"/>
      <c r="J28" s="20"/>
    </row>
    <row r="29">
      <c r="A29" s="1" t="s">
        <v>14</v>
      </c>
      <c r="E29" s="1" t="s">
        <v>299</v>
      </c>
      <c r="F29" s="1">
        <v>23750.0</v>
      </c>
      <c r="H29" s="1"/>
      <c r="J29" s="20"/>
    </row>
    <row r="30">
      <c r="A30" s="1" t="s">
        <v>14</v>
      </c>
      <c r="E30" s="1" t="s">
        <v>224</v>
      </c>
      <c r="F30" s="1">
        <v>30000.0</v>
      </c>
      <c r="H30" s="1"/>
      <c r="J30" s="20"/>
    </row>
    <row r="31">
      <c r="H31" s="1"/>
      <c r="J31" s="20"/>
    </row>
    <row r="32">
      <c r="H32" s="1"/>
      <c r="J32" s="20"/>
    </row>
    <row r="33">
      <c r="H33" s="1"/>
      <c r="J33" s="20"/>
    </row>
    <row r="34">
      <c r="H34" s="1"/>
      <c r="J34" s="20"/>
    </row>
    <row r="35">
      <c r="H35" s="15" t="s">
        <v>300</v>
      </c>
      <c r="J35" s="20"/>
    </row>
    <row r="36">
      <c r="A36" s="20"/>
      <c r="B36" s="20"/>
      <c r="C36" s="20"/>
      <c r="D36" s="20">
        <f>SUM(D2:D30)</f>
        <v>75000</v>
      </c>
      <c r="E36" s="20"/>
      <c r="F36" s="12">
        <f>SUM(F2:F30)</f>
        <v>689875</v>
      </c>
      <c r="G36" s="20"/>
      <c r="H36" s="18">
        <f>F36/D36</f>
        <v>9.198333333</v>
      </c>
      <c r="J36" s="20"/>
    </row>
    <row r="37">
      <c r="J37" s="20"/>
    </row>
    <row r="38">
      <c r="J38" s="20"/>
    </row>
    <row r="39">
      <c r="J39" s="20"/>
    </row>
    <row r="40">
      <c r="J40" s="20"/>
    </row>
    <row r="41">
      <c r="J41" s="20"/>
    </row>
    <row r="42">
      <c r="J42" s="20"/>
    </row>
    <row r="43">
      <c r="J43" s="20"/>
    </row>
    <row r="44">
      <c r="J44" s="20"/>
    </row>
    <row r="45">
      <c r="J45" s="20"/>
    </row>
    <row r="46">
      <c r="J46" s="20"/>
    </row>
    <row r="47">
      <c r="J47" s="20"/>
    </row>
    <row r="48">
      <c r="J48" s="20"/>
    </row>
    <row r="49">
      <c r="J49" s="20"/>
    </row>
    <row r="50">
      <c r="J50" s="20"/>
    </row>
    <row r="51">
      <c r="J51" s="20"/>
    </row>
    <row r="52">
      <c r="J52" s="20"/>
    </row>
    <row r="53">
      <c r="J53" s="20"/>
    </row>
    <row r="54">
      <c r="J54" s="20"/>
    </row>
    <row r="55">
      <c r="J55" s="20"/>
    </row>
    <row r="56">
      <c r="J56" s="20"/>
    </row>
    <row r="57">
      <c r="J57" s="20"/>
    </row>
    <row r="58">
      <c r="J58" s="20"/>
    </row>
    <row r="59">
      <c r="J59" s="20"/>
    </row>
    <row r="60">
      <c r="J60" s="20"/>
    </row>
    <row r="61">
      <c r="J61" s="20"/>
    </row>
    <row r="62">
      <c r="J62" s="20"/>
    </row>
    <row r="63">
      <c r="J63" s="20"/>
    </row>
    <row r="64">
      <c r="J64" s="20"/>
    </row>
    <row r="65">
      <c r="J65" s="20"/>
    </row>
    <row r="66">
      <c r="J66" s="20"/>
    </row>
    <row r="67">
      <c r="J67" s="20"/>
    </row>
    <row r="68">
      <c r="J68" s="20"/>
    </row>
    <row r="69">
      <c r="J69" s="20"/>
    </row>
    <row r="70">
      <c r="J70" s="20"/>
    </row>
    <row r="71">
      <c r="J71" s="20"/>
    </row>
    <row r="72">
      <c r="J72" s="20"/>
    </row>
    <row r="73">
      <c r="J73" s="20"/>
    </row>
    <row r="74">
      <c r="J74" s="20"/>
    </row>
    <row r="75">
      <c r="J75" s="20"/>
    </row>
    <row r="76">
      <c r="J76" s="20"/>
    </row>
    <row r="77">
      <c r="J77" s="20"/>
    </row>
    <row r="78">
      <c r="J78" s="20"/>
    </row>
    <row r="79">
      <c r="J79" s="20"/>
    </row>
    <row r="80">
      <c r="J80" s="20"/>
    </row>
    <row r="81">
      <c r="J81" s="20"/>
    </row>
    <row r="82">
      <c r="J82" s="20"/>
    </row>
    <row r="83">
      <c r="J83" s="20"/>
    </row>
    <row r="84">
      <c r="J84" s="20"/>
    </row>
    <row r="85">
      <c r="J85" s="20"/>
    </row>
    <row r="86">
      <c r="J86" s="20"/>
    </row>
    <row r="87">
      <c r="J87" s="20"/>
    </row>
    <row r="88">
      <c r="J88" s="20"/>
    </row>
    <row r="89">
      <c r="J89" s="20"/>
    </row>
    <row r="90">
      <c r="J90" s="20"/>
    </row>
    <row r="91">
      <c r="J91" s="20"/>
    </row>
    <row r="92">
      <c r="J92" s="20"/>
    </row>
    <row r="93">
      <c r="J93" s="20"/>
    </row>
    <row r="94">
      <c r="J94" s="20"/>
    </row>
    <row r="95">
      <c r="J95" s="20"/>
    </row>
    <row r="96">
      <c r="J96" s="20"/>
    </row>
    <row r="97">
      <c r="J97" s="20"/>
    </row>
    <row r="98">
      <c r="J98" s="20"/>
    </row>
    <row r="99">
      <c r="J99" s="20"/>
    </row>
    <row r="100">
      <c r="J100" s="20"/>
    </row>
    <row r="101">
      <c r="J101" s="20"/>
    </row>
    <row r="102">
      <c r="J102" s="20"/>
    </row>
    <row r="103">
      <c r="J103" s="20"/>
    </row>
    <row r="104">
      <c r="J104" s="20"/>
    </row>
    <row r="105">
      <c r="J105" s="20"/>
    </row>
    <row r="106">
      <c r="J106" s="20"/>
    </row>
    <row r="107">
      <c r="J107" s="20"/>
    </row>
    <row r="108">
      <c r="J108" s="20"/>
    </row>
    <row r="109">
      <c r="J109" s="20"/>
    </row>
    <row r="110">
      <c r="J110" s="20"/>
    </row>
    <row r="111">
      <c r="J111" s="20"/>
    </row>
    <row r="112">
      <c r="J112" s="20"/>
    </row>
    <row r="113">
      <c r="J113" s="20"/>
    </row>
    <row r="114">
      <c r="J114" s="20"/>
    </row>
    <row r="115">
      <c r="J115" s="20"/>
    </row>
    <row r="116">
      <c r="J116" s="20"/>
    </row>
    <row r="117">
      <c r="J117" s="20"/>
    </row>
    <row r="118">
      <c r="J118" s="20"/>
    </row>
    <row r="119">
      <c r="J119" s="20"/>
    </row>
    <row r="120">
      <c r="J120" s="20"/>
    </row>
    <row r="121">
      <c r="J121" s="20"/>
    </row>
    <row r="122">
      <c r="J122" s="20"/>
    </row>
    <row r="123">
      <c r="J123" s="20"/>
    </row>
    <row r="124">
      <c r="J124" s="20"/>
    </row>
    <row r="125">
      <c r="J125" s="20"/>
    </row>
    <row r="126">
      <c r="J126" s="20"/>
    </row>
    <row r="127">
      <c r="J127" s="20"/>
    </row>
    <row r="128">
      <c r="J128" s="20"/>
    </row>
    <row r="129">
      <c r="J129" s="20"/>
    </row>
    <row r="130">
      <c r="J130" s="20"/>
    </row>
    <row r="131">
      <c r="J131" s="20"/>
    </row>
    <row r="132">
      <c r="J132" s="20"/>
    </row>
    <row r="133">
      <c r="J133" s="20"/>
    </row>
    <row r="134">
      <c r="J134" s="20"/>
    </row>
    <row r="135">
      <c r="J135" s="20"/>
    </row>
    <row r="136">
      <c r="J136" s="20"/>
    </row>
    <row r="137">
      <c r="J137" s="20"/>
    </row>
    <row r="138">
      <c r="J138" s="20"/>
    </row>
    <row r="139">
      <c r="J139" s="20"/>
    </row>
    <row r="140">
      <c r="J140" s="20"/>
    </row>
    <row r="141">
      <c r="J141" s="20"/>
    </row>
    <row r="142">
      <c r="J142" s="20"/>
    </row>
    <row r="143">
      <c r="J143" s="20"/>
    </row>
    <row r="144">
      <c r="J144" s="20"/>
    </row>
    <row r="145">
      <c r="J145" s="20"/>
    </row>
    <row r="146">
      <c r="J146" s="20"/>
    </row>
    <row r="147">
      <c r="J147" s="20"/>
    </row>
    <row r="148">
      <c r="J148" s="20"/>
    </row>
    <row r="149">
      <c r="J149" s="20"/>
    </row>
    <row r="150">
      <c r="J150" s="20"/>
    </row>
    <row r="151">
      <c r="J151" s="20"/>
    </row>
    <row r="152">
      <c r="J152" s="20"/>
    </row>
    <row r="153">
      <c r="J153" s="20"/>
    </row>
    <row r="154">
      <c r="J154" s="20"/>
    </row>
    <row r="155">
      <c r="J155" s="20"/>
    </row>
    <row r="156">
      <c r="J156" s="20"/>
    </row>
    <row r="157">
      <c r="J157" s="20"/>
    </row>
    <row r="158">
      <c r="J158" s="20"/>
    </row>
    <row r="159">
      <c r="J159" s="20"/>
    </row>
    <row r="160">
      <c r="J160" s="20"/>
    </row>
    <row r="161">
      <c r="J161" s="20"/>
    </row>
    <row r="162">
      <c r="J162" s="20"/>
    </row>
    <row r="163">
      <c r="J163" s="20"/>
    </row>
    <row r="164">
      <c r="J164" s="20"/>
    </row>
    <row r="165">
      <c r="J165" s="20"/>
    </row>
    <row r="166">
      <c r="J166" s="20"/>
    </row>
    <row r="167">
      <c r="J167" s="20"/>
    </row>
    <row r="168">
      <c r="J168" s="20"/>
    </row>
    <row r="169">
      <c r="J169" s="20"/>
    </row>
    <row r="170">
      <c r="J170" s="20"/>
    </row>
    <row r="171">
      <c r="J171" s="20"/>
    </row>
    <row r="172">
      <c r="J172" s="20"/>
    </row>
    <row r="173">
      <c r="J173" s="20"/>
    </row>
    <row r="174">
      <c r="J174" s="20"/>
    </row>
    <row r="175">
      <c r="J175" s="20"/>
    </row>
    <row r="176">
      <c r="J176" s="20"/>
    </row>
    <row r="177">
      <c r="J177" s="20"/>
    </row>
    <row r="178">
      <c r="J178" s="20"/>
    </row>
    <row r="179">
      <c r="J179" s="20"/>
    </row>
    <row r="180">
      <c r="J180" s="20"/>
    </row>
    <row r="181">
      <c r="J181" s="20"/>
    </row>
    <row r="182">
      <c r="J182" s="20"/>
    </row>
    <row r="183">
      <c r="J183" s="20"/>
    </row>
    <row r="184">
      <c r="J184" s="20"/>
    </row>
    <row r="185">
      <c r="J185" s="20"/>
    </row>
    <row r="186">
      <c r="J186" s="20"/>
    </row>
    <row r="187">
      <c r="J187" s="20"/>
    </row>
    <row r="188">
      <c r="J188" s="20"/>
    </row>
    <row r="189">
      <c r="J189" s="20"/>
    </row>
    <row r="190">
      <c r="J190" s="20"/>
    </row>
    <row r="191">
      <c r="J191" s="20"/>
    </row>
    <row r="192">
      <c r="J192" s="20"/>
    </row>
    <row r="193">
      <c r="J193" s="20"/>
    </row>
    <row r="194">
      <c r="J194" s="20"/>
    </row>
    <row r="195">
      <c r="J195" s="20"/>
    </row>
    <row r="196">
      <c r="J196" s="20"/>
    </row>
    <row r="197">
      <c r="J197" s="20"/>
    </row>
    <row r="198">
      <c r="J198" s="20"/>
    </row>
    <row r="199">
      <c r="J199" s="20"/>
    </row>
    <row r="200">
      <c r="J200" s="20"/>
    </row>
    <row r="201">
      <c r="J201" s="20"/>
    </row>
    <row r="202">
      <c r="J202" s="20"/>
    </row>
    <row r="203">
      <c r="J203" s="20"/>
    </row>
    <row r="204">
      <c r="J204" s="20"/>
    </row>
    <row r="205">
      <c r="J205" s="20"/>
    </row>
    <row r="206">
      <c r="J206" s="20"/>
    </row>
    <row r="207">
      <c r="J207" s="20"/>
    </row>
    <row r="208">
      <c r="J208" s="20"/>
    </row>
    <row r="209">
      <c r="J209" s="20"/>
    </row>
    <row r="210">
      <c r="J210" s="20"/>
    </row>
    <row r="211">
      <c r="J211" s="20"/>
    </row>
    <row r="212">
      <c r="J212" s="20"/>
    </row>
    <row r="213">
      <c r="J213" s="20"/>
    </row>
    <row r="214">
      <c r="J214" s="20"/>
    </row>
    <row r="215">
      <c r="J215" s="20"/>
    </row>
    <row r="216">
      <c r="J216" s="20"/>
    </row>
    <row r="217">
      <c r="J217" s="20"/>
    </row>
    <row r="218">
      <c r="J218" s="20"/>
    </row>
    <row r="219">
      <c r="J219" s="20"/>
    </row>
    <row r="220">
      <c r="J220" s="20"/>
    </row>
    <row r="221">
      <c r="J221" s="20"/>
    </row>
    <row r="222">
      <c r="J222" s="20"/>
    </row>
    <row r="223">
      <c r="J223" s="20"/>
    </row>
    <row r="224">
      <c r="J224" s="20"/>
    </row>
    <row r="225">
      <c r="J225" s="20"/>
    </row>
    <row r="226">
      <c r="J226" s="20"/>
    </row>
    <row r="227">
      <c r="J227" s="20"/>
    </row>
    <row r="228">
      <c r="J228" s="20"/>
    </row>
    <row r="229">
      <c r="J229" s="20"/>
    </row>
    <row r="230">
      <c r="J230" s="20"/>
    </row>
    <row r="231">
      <c r="J231" s="20"/>
    </row>
    <row r="232">
      <c r="J232" s="20"/>
    </row>
    <row r="233">
      <c r="J233" s="20"/>
    </row>
    <row r="234">
      <c r="J234" s="20"/>
    </row>
    <row r="235">
      <c r="J235" s="20"/>
    </row>
    <row r="236">
      <c r="J236" s="20"/>
    </row>
    <row r="237">
      <c r="J237" s="20"/>
    </row>
    <row r="238">
      <c r="J238" s="20"/>
    </row>
    <row r="239">
      <c r="J239" s="20"/>
    </row>
    <row r="240">
      <c r="J240" s="20"/>
    </row>
    <row r="241">
      <c r="J241" s="20"/>
    </row>
    <row r="242">
      <c r="J242" s="20"/>
    </row>
    <row r="243">
      <c r="J243" s="20"/>
    </row>
    <row r="244">
      <c r="J244" s="20"/>
    </row>
    <row r="245">
      <c r="J245" s="20"/>
    </row>
    <row r="246">
      <c r="J246" s="20"/>
    </row>
    <row r="247">
      <c r="J247" s="20"/>
    </row>
    <row r="248">
      <c r="J248" s="20"/>
    </row>
    <row r="249">
      <c r="J249" s="20"/>
    </row>
    <row r="250">
      <c r="J250" s="20"/>
    </row>
    <row r="251">
      <c r="J251" s="20"/>
    </row>
    <row r="252">
      <c r="J252" s="20"/>
    </row>
    <row r="253">
      <c r="J253" s="20"/>
    </row>
    <row r="254">
      <c r="J254" s="20"/>
    </row>
    <row r="255">
      <c r="J255" s="20"/>
    </row>
    <row r="256">
      <c r="J256" s="20"/>
    </row>
    <row r="257">
      <c r="J257" s="20"/>
    </row>
    <row r="258">
      <c r="J258" s="20"/>
    </row>
    <row r="259">
      <c r="J259" s="20"/>
    </row>
    <row r="260">
      <c r="J260" s="20"/>
    </row>
    <row r="261">
      <c r="J261" s="20"/>
    </row>
    <row r="262">
      <c r="J262" s="20"/>
    </row>
    <row r="263">
      <c r="J263" s="20"/>
    </row>
    <row r="264">
      <c r="J264" s="20"/>
    </row>
    <row r="265">
      <c r="J265" s="20"/>
    </row>
    <row r="266">
      <c r="J266" s="20"/>
    </row>
    <row r="267">
      <c r="J267" s="20"/>
    </row>
    <row r="268">
      <c r="J268" s="20"/>
    </row>
    <row r="269">
      <c r="J269" s="20"/>
    </row>
    <row r="270">
      <c r="J270" s="20"/>
    </row>
    <row r="271">
      <c r="J271" s="20"/>
    </row>
    <row r="272">
      <c r="J272" s="20"/>
    </row>
    <row r="273">
      <c r="J273" s="20"/>
    </row>
    <row r="274">
      <c r="J274" s="20"/>
    </row>
    <row r="275">
      <c r="J275" s="20"/>
    </row>
    <row r="276">
      <c r="J276" s="20"/>
    </row>
    <row r="277">
      <c r="J277" s="20"/>
    </row>
    <row r="278">
      <c r="J278" s="20"/>
    </row>
    <row r="279">
      <c r="J279" s="20"/>
    </row>
    <row r="280">
      <c r="J280" s="20"/>
    </row>
    <row r="281">
      <c r="J281" s="20"/>
    </row>
    <row r="282">
      <c r="J282" s="20"/>
    </row>
    <row r="283">
      <c r="J283" s="20"/>
    </row>
    <row r="284">
      <c r="J284" s="20"/>
    </row>
    <row r="285">
      <c r="J285" s="20"/>
    </row>
    <row r="286">
      <c r="J286" s="20"/>
    </row>
    <row r="287">
      <c r="J287" s="20"/>
    </row>
    <row r="288">
      <c r="J288" s="20"/>
    </row>
    <row r="289">
      <c r="J289" s="20"/>
    </row>
    <row r="290">
      <c r="J290" s="20"/>
    </row>
    <row r="291">
      <c r="J291" s="20"/>
    </row>
    <row r="292">
      <c r="J292" s="20"/>
    </row>
    <row r="293">
      <c r="J293" s="20"/>
    </row>
    <row r="294">
      <c r="J294" s="20"/>
    </row>
    <row r="295">
      <c r="J295" s="20"/>
    </row>
    <row r="296">
      <c r="J296" s="20"/>
    </row>
    <row r="297">
      <c r="J297" s="20"/>
    </row>
    <row r="298">
      <c r="J298" s="20"/>
    </row>
    <row r="299">
      <c r="J299" s="20"/>
    </row>
    <row r="300">
      <c r="J300" s="20"/>
    </row>
    <row r="301">
      <c r="J301" s="20"/>
    </row>
    <row r="302">
      <c r="J302" s="20"/>
    </row>
    <row r="303">
      <c r="J303" s="20"/>
    </row>
    <row r="304">
      <c r="J304" s="20"/>
    </row>
    <row r="305">
      <c r="J305" s="20"/>
    </row>
    <row r="306">
      <c r="J306" s="20"/>
    </row>
    <row r="307">
      <c r="J307" s="20"/>
    </row>
    <row r="308">
      <c r="J308" s="20"/>
    </row>
    <row r="309">
      <c r="J309" s="20"/>
    </row>
    <row r="310">
      <c r="J310" s="20"/>
    </row>
    <row r="311">
      <c r="J311" s="20"/>
    </row>
    <row r="312">
      <c r="J312" s="20"/>
    </row>
    <row r="313">
      <c r="J313" s="20"/>
    </row>
    <row r="314">
      <c r="J314" s="20"/>
    </row>
    <row r="315">
      <c r="J315" s="20"/>
    </row>
    <row r="316">
      <c r="J316" s="20"/>
    </row>
    <row r="317">
      <c r="J317" s="20"/>
    </row>
    <row r="318">
      <c r="J318" s="20"/>
    </row>
    <row r="319">
      <c r="J319" s="20"/>
    </row>
    <row r="320">
      <c r="J320" s="20"/>
    </row>
    <row r="321">
      <c r="J321" s="20"/>
    </row>
    <row r="322">
      <c r="J322" s="20"/>
    </row>
    <row r="323">
      <c r="J323" s="20"/>
    </row>
    <row r="324">
      <c r="J324" s="20"/>
    </row>
    <row r="325">
      <c r="J325" s="20"/>
    </row>
    <row r="326">
      <c r="J326" s="20"/>
    </row>
    <row r="327">
      <c r="J327" s="20"/>
    </row>
    <row r="328">
      <c r="J328" s="20"/>
    </row>
    <row r="329">
      <c r="J329" s="20"/>
    </row>
    <row r="330">
      <c r="J330" s="20"/>
    </row>
    <row r="331">
      <c r="J331" s="20"/>
    </row>
    <row r="332">
      <c r="J332" s="20"/>
    </row>
    <row r="333">
      <c r="J333" s="20"/>
    </row>
    <row r="334">
      <c r="J334" s="20"/>
    </row>
    <row r="335">
      <c r="J335" s="20"/>
    </row>
    <row r="336">
      <c r="J336" s="20"/>
    </row>
    <row r="337">
      <c r="J337" s="20"/>
    </row>
    <row r="338">
      <c r="J338" s="20"/>
    </row>
    <row r="339">
      <c r="J339" s="20"/>
    </row>
    <row r="340">
      <c r="J340" s="20"/>
    </row>
    <row r="341">
      <c r="J341" s="20"/>
    </row>
    <row r="342">
      <c r="J342" s="20"/>
    </row>
    <row r="343">
      <c r="J343" s="20"/>
    </row>
    <row r="344">
      <c r="J344" s="20"/>
    </row>
    <row r="345">
      <c r="J345" s="20"/>
    </row>
    <row r="346">
      <c r="J346" s="20"/>
    </row>
    <row r="347">
      <c r="J347" s="20"/>
    </row>
    <row r="348">
      <c r="J348" s="20"/>
    </row>
    <row r="349">
      <c r="J349" s="20"/>
    </row>
    <row r="350">
      <c r="J350" s="20"/>
    </row>
    <row r="351">
      <c r="J351" s="20"/>
    </row>
    <row r="352">
      <c r="J352" s="20"/>
    </row>
    <row r="353">
      <c r="J353" s="20"/>
    </row>
    <row r="354">
      <c r="J354" s="20"/>
    </row>
    <row r="355">
      <c r="J355" s="20"/>
    </row>
    <row r="356">
      <c r="J356" s="20"/>
    </row>
    <row r="357">
      <c r="J357" s="20"/>
    </row>
    <row r="358">
      <c r="J358" s="20"/>
    </row>
    <row r="359">
      <c r="J359" s="20"/>
    </row>
    <row r="360">
      <c r="J360" s="20"/>
    </row>
    <row r="361">
      <c r="J361" s="20"/>
    </row>
    <row r="362">
      <c r="J362" s="20"/>
    </row>
    <row r="363">
      <c r="J363" s="20"/>
    </row>
    <row r="364">
      <c r="J364" s="20"/>
    </row>
    <row r="365">
      <c r="J365" s="20"/>
    </row>
    <row r="366">
      <c r="J366" s="20"/>
    </row>
    <row r="367">
      <c r="J367" s="20"/>
    </row>
    <row r="368">
      <c r="J368" s="20"/>
    </row>
    <row r="369">
      <c r="J369" s="20"/>
    </row>
    <row r="370">
      <c r="J370" s="20"/>
    </row>
    <row r="371">
      <c r="J371" s="20"/>
    </row>
    <row r="372">
      <c r="J372" s="20"/>
    </row>
    <row r="373">
      <c r="J373" s="20"/>
    </row>
    <row r="374">
      <c r="J374" s="20"/>
    </row>
    <row r="375">
      <c r="J375" s="20"/>
    </row>
    <row r="376">
      <c r="J376" s="20"/>
    </row>
    <row r="377">
      <c r="J377" s="20"/>
    </row>
    <row r="378">
      <c r="J378" s="20"/>
    </row>
    <row r="379">
      <c r="J379" s="20"/>
    </row>
    <row r="380">
      <c r="J380" s="20"/>
    </row>
    <row r="381">
      <c r="J381" s="20"/>
    </row>
    <row r="382">
      <c r="J382" s="20"/>
    </row>
    <row r="383">
      <c r="J383" s="20"/>
    </row>
    <row r="384">
      <c r="J384" s="20"/>
    </row>
    <row r="385">
      <c r="J385" s="20"/>
    </row>
    <row r="386">
      <c r="J386" s="20"/>
    </row>
    <row r="387">
      <c r="J387" s="20"/>
    </row>
    <row r="388">
      <c r="J388" s="20"/>
    </row>
    <row r="389">
      <c r="J389" s="20"/>
    </row>
    <row r="390">
      <c r="J390" s="20"/>
    </row>
    <row r="391">
      <c r="J391" s="20"/>
    </row>
    <row r="392">
      <c r="J392" s="20"/>
    </row>
    <row r="393">
      <c r="J393" s="20"/>
    </row>
    <row r="394">
      <c r="J394" s="20"/>
    </row>
    <row r="395">
      <c r="J395" s="20"/>
    </row>
    <row r="396">
      <c r="J396" s="20"/>
    </row>
    <row r="397">
      <c r="J397" s="20"/>
    </row>
    <row r="398">
      <c r="J398" s="20"/>
    </row>
    <row r="399">
      <c r="J399" s="20"/>
    </row>
    <row r="400">
      <c r="J400" s="20"/>
    </row>
    <row r="401">
      <c r="J401" s="20"/>
    </row>
    <row r="402">
      <c r="J402" s="20"/>
    </row>
    <row r="403">
      <c r="J403" s="20"/>
    </row>
    <row r="404">
      <c r="J404" s="20"/>
    </row>
    <row r="405">
      <c r="J405" s="20"/>
    </row>
    <row r="406">
      <c r="J406" s="20"/>
    </row>
    <row r="407">
      <c r="J407" s="20"/>
    </row>
    <row r="408">
      <c r="J408" s="20"/>
    </row>
    <row r="409">
      <c r="J409" s="20"/>
    </row>
    <row r="410">
      <c r="J410" s="20"/>
    </row>
    <row r="411">
      <c r="J411" s="20"/>
    </row>
    <row r="412">
      <c r="J412" s="20"/>
    </row>
    <row r="413">
      <c r="J413" s="20"/>
    </row>
    <row r="414">
      <c r="J414" s="20"/>
    </row>
    <row r="415">
      <c r="J415" s="20"/>
    </row>
    <row r="416">
      <c r="J416" s="20"/>
    </row>
    <row r="417">
      <c r="J417" s="20"/>
    </row>
    <row r="418">
      <c r="J418" s="20"/>
    </row>
    <row r="419">
      <c r="J419" s="20"/>
    </row>
    <row r="420">
      <c r="J420" s="20"/>
    </row>
    <row r="421">
      <c r="J421" s="20"/>
    </row>
    <row r="422">
      <c r="J422" s="20"/>
    </row>
    <row r="423">
      <c r="J423" s="20"/>
    </row>
    <row r="424">
      <c r="J424" s="20"/>
    </row>
    <row r="425">
      <c r="J425" s="20"/>
    </row>
    <row r="426">
      <c r="J426" s="20"/>
    </row>
    <row r="427">
      <c r="J427" s="20"/>
    </row>
    <row r="428">
      <c r="J428" s="20"/>
    </row>
    <row r="429">
      <c r="J429" s="20"/>
    </row>
    <row r="430">
      <c r="J430" s="20"/>
    </row>
    <row r="431">
      <c r="J431" s="20"/>
    </row>
    <row r="432">
      <c r="J432" s="20"/>
    </row>
    <row r="433">
      <c r="J433" s="20"/>
    </row>
    <row r="434">
      <c r="J434" s="20"/>
    </row>
    <row r="435">
      <c r="J435" s="20"/>
    </row>
    <row r="436">
      <c r="J436" s="20"/>
    </row>
    <row r="437">
      <c r="J437" s="20"/>
    </row>
    <row r="438">
      <c r="J438" s="20"/>
    </row>
    <row r="439">
      <c r="J439" s="20"/>
    </row>
    <row r="440">
      <c r="J440" s="20"/>
    </row>
    <row r="441">
      <c r="J441" s="20"/>
    </row>
    <row r="442">
      <c r="J442" s="20"/>
    </row>
    <row r="443">
      <c r="J443" s="20"/>
    </row>
    <row r="444">
      <c r="J444" s="20"/>
    </row>
    <row r="445">
      <c r="J445" s="20"/>
    </row>
    <row r="446">
      <c r="J446" s="20"/>
    </row>
    <row r="447">
      <c r="J447" s="20"/>
    </row>
    <row r="448">
      <c r="J448" s="20"/>
    </row>
    <row r="449">
      <c r="J449" s="20"/>
    </row>
    <row r="450">
      <c r="J450" s="20"/>
    </row>
    <row r="451">
      <c r="J451" s="20"/>
    </row>
    <row r="452">
      <c r="J452" s="20"/>
    </row>
    <row r="453">
      <c r="J453" s="20"/>
    </row>
    <row r="454">
      <c r="J454" s="20"/>
    </row>
    <row r="455">
      <c r="J455" s="20"/>
    </row>
    <row r="456">
      <c r="J456" s="20"/>
    </row>
    <row r="457">
      <c r="J457" s="20"/>
    </row>
    <row r="458">
      <c r="J458" s="20"/>
    </row>
    <row r="459">
      <c r="J459" s="20"/>
    </row>
    <row r="460">
      <c r="J460" s="20"/>
    </row>
    <row r="461">
      <c r="J461" s="20"/>
    </row>
    <row r="462">
      <c r="J462" s="20"/>
    </row>
    <row r="463">
      <c r="J463" s="20"/>
    </row>
    <row r="464">
      <c r="J464" s="20"/>
    </row>
    <row r="465">
      <c r="J465" s="20"/>
    </row>
    <row r="466">
      <c r="J466" s="20"/>
    </row>
    <row r="467">
      <c r="J467" s="20"/>
    </row>
    <row r="468">
      <c r="J468" s="20"/>
    </row>
    <row r="469">
      <c r="J469" s="20"/>
    </row>
    <row r="470">
      <c r="J470" s="20"/>
    </row>
    <row r="471">
      <c r="J471" s="20"/>
    </row>
    <row r="472">
      <c r="J472" s="20"/>
    </row>
    <row r="473">
      <c r="J473" s="20"/>
    </row>
    <row r="474">
      <c r="J474" s="20"/>
    </row>
    <row r="475">
      <c r="J475" s="20"/>
    </row>
    <row r="476">
      <c r="J476" s="20"/>
    </row>
    <row r="477">
      <c r="J477" s="20"/>
    </row>
    <row r="478">
      <c r="J478" s="20"/>
    </row>
    <row r="479">
      <c r="J479" s="20"/>
    </row>
    <row r="480">
      <c r="J480" s="20"/>
    </row>
    <row r="481">
      <c r="J481" s="20"/>
    </row>
    <row r="482">
      <c r="J482" s="20"/>
    </row>
    <row r="483">
      <c r="J483" s="20"/>
    </row>
    <row r="484">
      <c r="J484" s="20"/>
    </row>
    <row r="485">
      <c r="J485" s="20"/>
    </row>
    <row r="486">
      <c r="J486" s="20"/>
    </row>
    <row r="487">
      <c r="J487" s="20"/>
    </row>
    <row r="488">
      <c r="J488" s="20"/>
    </row>
    <row r="489">
      <c r="J489" s="20"/>
    </row>
    <row r="490">
      <c r="J490" s="20"/>
    </row>
    <row r="491">
      <c r="J491" s="20"/>
    </row>
    <row r="492">
      <c r="J492" s="20"/>
    </row>
    <row r="493">
      <c r="J493" s="20"/>
    </row>
    <row r="494">
      <c r="J494" s="20"/>
    </row>
    <row r="495">
      <c r="J495" s="20"/>
    </row>
    <row r="496">
      <c r="J496" s="20"/>
    </row>
    <row r="497">
      <c r="J497" s="20"/>
    </row>
    <row r="498">
      <c r="J498" s="20"/>
    </row>
    <row r="499">
      <c r="J499" s="20"/>
    </row>
    <row r="500">
      <c r="J500" s="20"/>
    </row>
    <row r="501">
      <c r="J501" s="20"/>
    </row>
    <row r="502">
      <c r="J502" s="20"/>
    </row>
    <row r="503">
      <c r="J503" s="20"/>
    </row>
    <row r="504">
      <c r="J504" s="20"/>
    </row>
    <row r="505">
      <c r="J505" s="20"/>
    </row>
    <row r="506">
      <c r="J506" s="20"/>
    </row>
    <row r="507">
      <c r="J507" s="20"/>
    </row>
    <row r="508">
      <c r="J508" s="20"/>
    </row>
    <row r="509">
      <c r="J509" s="20"/>
    </row>
    <row r="510">
      <c r="J510" s="20"/>
    </row>
    <row r="511">
      <c r="J511" s="20"/>
    </row>
    <row r="512">
      <c r="J512" s="20"/>
    </row>
    <row r="513">
      <c r="J513" s="20"/>
    </row>
    <row r="514">
      <c r="J514" s="20"/>
    </row>
    <row r="515">
      <c r="J515" s="20"/>
    </row>
    <row r="516">
      <c r="J516" s="20"/>
    </row>
    <row r="517">
      <c r="J517" s="20"/>
    </row>
    <row r="518">
      <c r="J518" s="20"/>
    </row>
    <row r="519">
      <c r="J519" s="20"/>
    </row>
    <row r="520">
      <c r="J520" s="20"/>
    </row>
    <row r="521">
      <c r="J521" s="20"/>
    </row>
    <row r="522">
      <c r="J522" s="20"/>
    </row>
    <row r="523">
      <c r="J523" s="20"/>
    </row>
    <row r="524">
      <c r="J524" s="20"/>
    </row>
    <row r="525">
      <c r="J525" s="20"/>
    </row>
    <row r="526">
      <c r="J526" s="20"/>
    </row>
    <row r="527">
      <c r="J527" s="20"/>
    </row>
    <row r="528">
      <c r="J528" s="20"/>
    </row>
    <row r="529">
      <c r="J529" s="20"/>
    </row>
    <row r="530">
      <c r="J530" s="20"/>
    </row>
    <row r="531">
      <c r="J531" s="20"/>
    </row>
    <row r="532">
      <c r="J532" s="20"/>
    </row>
    <row r="533">
      <c r="J533" s="20"/>
    </row>
    <row r="534">
      <c r="J534" s="20"/>
    </row>
    <row r="535">
      <c r="J535" s="20"/>
    </row>
    <row r="536">
      <c r="J536" s="20"/>
    </row>
    <row r="537">
      <c r="J537" s="20"/>
    </row>
    <row r="538">
      <c r="J538" s="20"/>
    </row>
    <row r="539">
      <c r="J539" s="20"/>
    </row>
    <row r="540">
      <c r="J540" s="20"/>
    </row>
    <row r="541">
      <c r="J541" s="20"/>
    </row>
    <row r="542">
      <c r="J542" s="20"/>
    </row>
    <row r="543">
      <c r="J543" s="20"/>
    </row>
    <row r="544">
      <c r="J544" s="20"/>
    </row>
    <row r="545">
      <c r="J545" s="20"/>
    </row>
    <row r="546">
      <c r="J546" s="20"/>
    </row>
    <row r="547">
      <c r="J547" s="20"/>
    </row>
    <row r="548">
      <c r="J548" s="20"/>
    </row>
    <row r="549">
      <c r="J549" s="20"/>
    </row>
    <row r="550">
      <c r="J550" s="20"/>
    </row>
    <row r="551">
      <c r="J551" s="20"/>
    </row>
    <row r="552">
      <c r="J552" s="20"/>
    </row>
    <row r="553">
      <c r="J553" s="20"/>
    </row>
    <row r="554">
      <c r="J554" s="20"/>
    </row>
    <row r="555">
      <c r="J555" s="20"/>
    </row>
    <row r="556">
      <c r="J556" s="20"/>
    </row>
    <row r="557">
      <c r="J557" s="20"/>
    </row>
    <row r="558">
      <c r="J558" s="20"/>
    </row>
    <row r="559">
      <c r="J559" s="20"/>
    </row>
    <row r="560">
      <c r="J560" s="20"/>
    </row>
    <row r="561">
      <c r="J561" s="20"/>
    </row>
    <row r="562">
      <c r="J562" s="20"/>
    </row>
    <row r="563">
      <c r="J563" s="20"/>
    </row>
    <row r="564">
      <c r="J564" s="20"/>
    </row>
    <row r="565">
      <c r="J565" s="20"/>
    </row>
    <row r="566">
      <c r="J566" s="20"/>
    </row>
    <row r="567">
      <c r="J567" s="20"/>
    </row>
    <row r="568">
      <c r="J568" s="20"/>
    </row>
    <row r="569">
      <c r="J569" s="20"/>
    </row>
    <row r="570">
      <c r="J570" s="20"/>
    </row>
    <row r="571">
      <c r="J571" s="20"/>
    </row>
    <row r="572">
      <c r="J572" s="20"/>
    </row>
    <row r="573">
      <c r="J573" s="20"/>
    </row>
    <row r="574">
      <c r="J574" s="20"/>
    </row>
    <row r="575">
      <c r="J575" s="20"/>
    </row>
    <row r="576">
      <c r="J576" s="20"/>
    </row>
    <row r="577">
      <c r="J577" s="20"/>
    </row>
    <row r="578">
      <c r="J578" s="20"/>
    </row>
    <row r="579">
      <c r="J579" s="20"/>
    </row>
    <row r="580">
      <c r="J580" s="20"/>
    </row>
    <row r="581">
      <c r="J581" s="20"/>
    </row>
    <row r="582">
      <c r="J582" s="20"/>
    </row>
    <row r="583">
      <c r="J583" s="20"/>
    </row>
    <row r="584">
      <c r="J584" s="20"/>
    </row>
    <row r="585">
      <c r="J585" s="20"/>
    </row>
    <row r="586">
      <c r="J586" s="20"/>
    </row>
    <row r="587">
      <c r="J587" s="20"/>
    </row>
    <row r="588">
      <c r="J588" s="20"/>
    </row>
    <row r="589">
      <c r="J589" s="20"/>
    </row>
    <row r="590">
      <c r="J590" s="20"/>
    </row>
    <row r="591">
      <c r="J591" s="20"/>
    </row>
    <row r="592">
      <c r="J592" s="20"/>
    </row>
    <row r="593">
      <c r="J593" s="20"/>
    </row>
    <row r="594">
      <c r="J594" s="20"/>
    </row>
    <row r="595">
      <c r="J595" s="20"/>
    </row>
    <row r="596">
      <c r="J596" s="20"/>
    </row>
    <row r="597">
      <c r="J597" s="20"/>
    </row>
    <row r="598">
      <c r="J598" s="20"/>
    </row>
    <row r="599">
      <c r="J599" s="20"/>
    </row>
    <row r="600">
      <c r="J600" s="20"/>
    </row>
    <row r="601">
      <c r="J601" s="20"/>
    </row>
    <row r="602">
      <c r="J602" s="20"/>
    </row>
    <row r="603">
      <c r="J603" s="20"/>
    </row>
    <row r="604">
      <c r="J604" s="20"/>
    </row>
    <row r="605">
      <c r="J605" s="20"/>
    </row>
    <row r="606">
      <c r="J606" s="20"/>
    </row>
    <row r="607">
      <c r="J607" s="20"/>
    </row>
    <row r="608">
      <c r="J608" s="20"/>
    </row>
    <row r="609">
      <c r="J609" s="20"/>
    </row>
    <row r="610">
      <c r="J610" s="20"/>
    </row>
    <row r="611">
      <c r="J611" s="20"/>
    </row>
    <row r="612">
      <c r="J612" s="20"/>
    </row>
    <row r="613">
      <c r="J613" s="20"/>
    </row>
    <row r="614">
      <c r="J614" s="20"/>
    </row>
    <row r="615">
      <c r="J615" s="20"/>
    </row>
    <row r="616">
      <c r="J616" s="20"/>
    </row>
    <row r="617">
      <c r="J617" s="20"/>
    </row>
    <row r="618">
      <c r="J618" s="20"/>
    </row>
    <row r="619">
      <c r="J619" s="20"/>
    </row>
    <row r="620">
      <c r="J620" s="20"/>
    </row>
    <row r="621">
      <c r="J621" s="20"/>
    </row>
    <row r="622">
      <c r="J622" s="20"/>
    </row>
    <row r="623">
      <c r="J623" s="20"/>
    </row>
    <row r="624">
      <c r="J624" s="20"/>
    </row>
    <row r="625">
      <c r="J625" s="20"/>
    </row>
    <row r="626">
      <c r="J626" s="20"/>
    </row>
    <row r="627">
      <c r="J627" s="20"/>
    </row>
    <row r="628">
      <c r="J628" s="20"/>
    </row>
    <row r="629">
      <c r="J629" s="20"/>
    </row>
    <row r="630">
      <c r="J630" s="20"/>
    </row>
    <row r="631">
      <c r="J631" s="20"/>
    </row>
    <row r="632">
      <c r="J632" s="20"/>
    </row>
    <row r="633">
      <c r="J633" s="20"/>
    </row>
    <row r="634">
      <c r="J634" s="20"/>
    </row>
    <row r="635">
      <c r="J635" s="20"/>
    </row>
    <row r="636">
      <c r="J636" s="20"/>
    </row>
    <row r="637">
      <c r="J637" s="20"/>
    </row>
    <row r="638">
      <c r="J638" s="20"/>
    </row>
    <row r="639">
      <c r="J639" s="20"/>
    </row>
    <row r="640">
      <c r="J640" s="20"/>
    </row>
    <row r="641">
      <c r="J641" s="20"/>
    </row>
    <row r="642">
      <c r="J642" s="20"/>
    </row>
    <row r="643">
      <c r="J643" s="20"/>
    </row>
    <row r="644">
      <c r="J644" s="20"/>
    </row>
    <row r="645">
      <c r="J645" s="20"/>
    </row>
    <row r="646">
      <c r="J646" s="20"/>
    </row>
    <row r="647">
      <c r="J647" s="20"/>
    </row>
    <row r="648">
      <c r="J648" s="20"/>
    </row>
    <row r="649">
      <c r="J649" s="20"/>
    </row>
    <row r="650">
      <c r="J650" s="20"/>
    </row>
    <row r="651">
      <c r="J651" s="20"/>
    </row>
    <row r="652">
      <c r="J652" s="20"/>
    </row>
    <row r="653">
      <c r="J653" s="20"/>
    </row>
    <row r="654">
      <c r="J654" s="20"/>
    </row>
    <row r="655">
      <c r="J655" s="20"/>
    </row>
    <row r="656">
      <c r="J656" s="20"/>
    </row>
    <row r="657">
      <c r="J657" s="20"/>
    </row>
    <row r="658">
      <c r="J658" s="20"/>
    </row>
    <row r="659">
      <c r="J659" s="20"/>
    </row>
    <row r="660">
      <c r="J660" s="20"/>
    </row>
    <row r="661">
      <c r="J661" s="20"/>
    </row>
    <row r="662">
      <c r="J662" s="20"/>
    </row>
    <row r="663">
      <c r="J663" s="20"/>
    </row>
    <row r="664">
      <c r="J664" s="20"/>
    </row>
    <row r="665">
      <c r="J665" s="20"/>
    </row>
    <row r="666">
      <c r="J666" s="20"/>
    </row>
    <row r="667">
      <c r="J667" s="20"/>
    </row>
    <row r="668">
      <c r="J668" s="20"/>
    </row>
    <row r="669">
      <c r="J669" s="20"/>
    </row>
    <row r="670">
      <c r="J670" s="20"/>
    </row>
    <row r="671">
      <c r="J671" s="20"/>
    </row>
    <row r="672">
      <c r="J672" s="20"/>
    </row>
    <row r="673">
      <c r="J673" s="20"/>
    </row>
    <row r="674">
      <c r="J674" s="20"/>
    </row>
    <row r="675">
      <c r="J675" s="20"/>
    </row>
    <row r="676">
      <c r="J676" s="20"/>
    </row>
    <row r="677">
      <c r="J677" s="20"/>
    </row>
    <row r="678">
      <c r="J678" s="20"/>
    </row>
    <row r="679">
      <c r="J679" s="20"/>
    </row>
    <row r="680">
      <c r="J680" s="20"/>
    </row>
    <row r="681">
      <c r="J681" s="20"/>
    </row>
    <row r="682">
      <c r="J682" s="20"/>
    </row>
    <row r="683">
      <c r="J683" s="20"/>
    </row>
    <row r="684">
      <c r="J684" s="20"/>
    </row>
    <row r="685">
      <c r="J685" s="20"/>
    </row>
    <row r="686">
      <c r="J686" s="20"/>
    </row>
    <row r="687">
      <c r="J687" s="20"/>
    </row>
    <row r="688">
      <c r="J688" s="20"/>
    </row>
    <row r="689">
      <c r="J689" s="20"/>
    </row>
    <row r="690">
      <c r="J690" s="20"/>
    </row>
    <row r="691">
      <c r="J691" s="20"/>
    </row>
    <row r="692">
      <c r="J692" s="20"/>
    </row>
    <row r="693">
      <c r="J693" s="20"/>
    </row>
    <row r="694">
      <c r="J694" s="20"/>
    </row>
    <row r="695">
      <c r="J695" s="20"/>
    </row>
    <row r="696">
      <c r="J696" s="20"/>
    </row>
    <row r="697">
      <c r="J697" s="20"/>
    </row>
    <row r="698">
      <c r="J698" s="20"/>
    </row>
    <row r="699">
      <c r="J699" s="20"/>
    </row>
    <row r="700">
      <c r="J700" s="20"/>
    </row>
    <row r="701">
      <c r="J701" s="20"/>
    </row>
    <row r="702">
      <c r="J702" s="20"/>
    </row>
    <row r="703">
      <c r="J703" s="20"/>
    </row>
    <row r="704">
      <c r="J704" s="20"/>
    </row>
    <row r="705">
      <c r="J705" s="20"/>
    </row>
    <row r="706">
      <c r="J706" s="20"/>
    </row>
    <row r="707">
      <c r="J707" s="20"/>
    </row>
    <row r="708">
      <c r="J708" s="20"/>
    </row>
    <row r="709">
      <c r="J709" s="20"/>
    </row>
    <row r="710">
      <c r="J710" s="20"/>
    </row>
    <row r="711">
      <c r="J711" s="20"/>
    </row>
    <row r="712">
      <c r="J712" s="20"/>
    </row>
    <row r="713">
      <c r="J713" s="20"/>
    </row>
    <row r="714">
      <c r="J714" s="20"/>
    </row>
    <row r="715">
      <c r="J715" s="20"/>
    </row>
    <row r="716">
      <c r="J716" s="20"/>
    </row>
    <row r="717">
      <c r="J717" s="20"/>
    </row>
    <row r="718">
      <c r="J718" s="20"/>
    </row>
    <row r="719">
      <c r="J719" s="20"/>
    </row>
    <row r="720">
      <c r="J720" s="20"/>
    </row>
    <row r="721">
      <c r="J721" s="20"/>
    </row>
    <row r="722">
      <c r="J722" s="20"/>
    </row>
    <row r="723">
      <c r="J723" s="20"/>
    </row>
    <row r="724">
      <c r="J724" s="20"/>
    </row>
    <row r="725">
      <c r="J725" s="20"/>
    </row>
    <row r="726">
      <c r="J726" s="20"/>
    </row>
    <row r="727">
      <c r="J727" s="20"/>
    </row>
    <row r="728">
      <c r="J728" s="20"/>
    </row>
    <row r="729">
      <c r="J729" s="20"/>
    </row>
    <row r="730">
      <c r="J730" s="20"/>
    </row>
    <row r="731">
      <c r="J731" s="20"/>
    </row>
    <row r="732">
      <c r="J732" s="20"/>
    </row>
    <row r="733">
      <c r="J733" s="20"/>
    </row>
    <row r="734">
      <c r="J734" s="20"/>
    </row>
    <row r="735">
      <c r="J735" s="20"/>
    </row>
    <row r="736">
      <c r="J736" s="20"/>
    </row>
    <row r="737">
      <c r="J737" s="20"/>
    </row>
    <row r="738">
      <c r="J738" s="20"/>
    </row>
    <row r="739">
      <c r="J739" s="20"/>
    </row>
    <row r="740">
      <c r="J740" s="20"/>
    </row>
    <row r="741">
      <c r="J741" s="20"/>
    </row>
    <row r="742">
      <c r="J742" s="20"/>
    </row>
    <row r="743">
      <c r="J743" s="20"/>
    </row>
    <row r="744">
      <c r="J744" s="20"/>
    </row>
    <row r="745">
      <c r="J745" s="20"/>
    </row>
    <row r="746">
      <c r="J746" s="20"/>
    </row>
    <row r="747">
      <c r="J747" s="20"/>
    </row>
    <row r="748">
      <c r="J748" s="20"/>
    </row>
    <row r="749">
      <c r="J749" s="20"/>
    </row>
    <row r="750">
      <c r="J750" s="20"/>
    </row>
    <row r="751">
      <c r="J751" s="20"/>
    </row>
    <row r="752">
      <c r="J752" s="20"/>
    </row>
    <row r="753">
      <c r="J753" s="20"/>
    </row>
    <row r="754">
      <c r="J754" s="20"/>
    </row>
    <row r="755">
      <c r="J755" s="20"/>
    </row>
    <row r="756">
      <c r="J756" s="20"/>
    </row>
    <row r="757">
      <c r="J757" s="20"/>
    </row>
    <row r="758">
      <c r="J758" s="20"/>
    </row>
    <row r="759">
      <c r="J759" s="20"/>
    </row>
    <row r="760">
      <c r="J760" s="20"/>
    </row>
    <row r="761">
      <c r="J761" s="20"/>
    </row>
    <row r="762">
      <c r="J762" s="20"/>
    </row>
    <row r="763">
      <c r="J763" s="20"/>
    </row>
    <row r="764">
      <c r="J764" s="20"/>
    </row>
    <row r="765">
      <c r="J765" s="20"/>
    </row>
    <row r="766">
      <c r="J766" s="20"/>
    </row>
    <row r="767">
      <c r="J767" s="20"/>
    </row>
    <row r="768">
      <c r="J768" s="20"/>
    </row>
    <row r="769">
      <c r="J769" s="20"/>
    </row>
    <row r="770">
      <c r="J770" s="20"/>
    </row>
    <row r="771">
      <c r="J771" s="20"/>
    </row>
    <row r="772">
      <c r="J772" s="20"/>
    </row>
    <row r="773">
      <c r="J773" s="20"/>
    </row>
    <row r="774">
      <c r="J774" s="20"/>
    </row>
    <row r="775">
      <c r="J775" s="20"/>
    </row>
    <row r="776">
      <c r="J776" s="20"/>
    </row>
    <row r="777">
      <c r="J777" s="20"/>
    </row>
    <row r="778">
      <c r="J778" s="20"/>
    </row>
    <row r="779">
      <c r="J779" s="20"/>
    </row>
    <row r="780">
      <c r="J780" s="20"/>
    </row>
    <row r="781">
      <c r="J781" s="20"/>
    </row>
    <row r="782">
      <c r="J782" s="20"/>
    </row>
    <row r="783">
      <c r="J783" s="20"/>
    </row>
    <row r="784">
      <c r="J784" s="20"/>
    </row>
    <row r="785">
      <c r="J785" s="20"/>
    </row>
    <row r="786">
      <c r="J786" s="20"/>
    </row>
    <row r="787">
      <c r="J787" s="20"/>
    </row>
    <row r="788">
      <c r="J788" s="20"/>
    </row>
    <row r="789">
      <c r="J789" s="20"/>
    </row>
    <row r="790">
      <c r="J790" s="20"/>
    </row>
    <row r="791">
      <c r="J791" s="20"/>
    </row>
    <row r="792">
      <c r="J792" s="20"/>
    </row>
    <row r="793">
      <c r="J793" s="20"/>
    </row>
    <row r="794">
      <c r="J794" s="20"/>
    </row>
    <row r="795">
      <c r="J795" s="20"/>
    </row>
    <row r="796">
      <c r="J796" s="20"/>
    </row>
    <row r="797">
      <c r="J797" s="20"/>
    </row>
    <row r="798">
      <c r="J798" s="20"/>
    </row>
    <row r="799">
      <c r="J799" s="20"/>
    </row>
    <row r="800">
      <c r="J800" s="20"/>
    </row>
    <row r="801">
      <c r="J801" s="20"/>
    </row>
    <row r="802">
      <c r="J802" s="20"/>
    </row>
    <row r="803">
      <c r="J803" s="20"/>
    </row>
    <row r="804">
      <c r="J804" s="20"/>
    </row>
    <row r="805">
      <c r="J805" s="20"/>
    </row>
    <row r="806">
      <c r="J806" s="20"/>
    </row>
    <row r="807">
      <c r="J807" s="20"/>
    </row>
    <row r="808">
      <c r="J808" s="20"/>
    </row>
    <row r="809">
      <c r="J809" s="20"/>
    </row>
    <row r="810">
      <c r="J810" s="20"/>
    </row>
    <row r="811">
      <c r="J811" s="20"/>
    </row>
    <row r="812">
      <c r="J812" s="20"/>
    </row>
    <row r="813">
      <c r="J813" s="20"/>
    </row>
    <row r="814">
      <c r="J814" s="20"/>
    </row>
    <row r="815">
      <c r="J815" s="20"/>
    </row>
    <row r="816">
      <c r="J816" s="20"/>
    </row>
    <row r="817">
      <c r="J817" s="20"/>
    </row>
    <row r="818">
      <c r="J818" s="20"/>
    </row>
    <row r="819">
      <c r="J819" s="20"/>
    </row>
    <row r="820">
      <c r="J820" s="20"/>
    </row>
    <row r="821">
      <c r="J821" s="20"/>
    </row>
    <row r="822">
      <c r="J822" s="20"/>
    </row>
    <row r="823">
      <c r="J823" s="20"/>
    </row>
    <row r="824">
      <c r="J824" s="20"/>
    </row>
    <row r="825">
      <c r="J825" s="20"/>
    </row>
    <row r="826">
      <c r="J826" s="20"/>
    </row>
    <row r="827">
      <c r="J827" s="20"/>
    </row>
    <row r="828">
      <c r="J828" s="20"/>
    </row>
    <row r="829">
      <c r="J829" s="20"/>
    </row>
    <row r="830">
      <c r="J830" s="20"/>
    </row>
    <row r="831">
      <c r="J831" s="20"/>
    </row>
    <row r="832">
      <c r="J832" s="20"/>
    </row>
    <row r="833">
      <c r="J833" s="20"/>
    </row>
    <row r="834">
      <c r="J834" s="20"/>
    </row>
    <row r="835">
      <c r="J835" s="20"/>
    </row>
    <row r="836">
      <c r="J836" s="20"/>
    </row>
    <row r="837">
      <c r="J837" s="20"/>
    </row>
    <row r="838">
      <c r="J838" s="20"/>
    </row>
    <row r="839">
      <c r="J839" s="20"/>
    </row>
    <row r="840">
      <c r="J840" s="20"/>
    </row>
    <row r="841">
      <c r="J841" s="20"/>
    </row>
    <row r="842">
      <c r="J842" s="20"/>
    </row>
    <row r="843">
      <c r="J843" s="20"/>
    </row>
    <row r="844">
      <c r="J844" s="20"/>
    </row>
    <row r="845">
      <c r="J845" s="20"/>
    </row>
    <row r="846">
      <c r="J846" s="20"/>
    </row>
    <row r="847">
      <c r="J847" s="20"/>
    </row>
    <row r="848">
      <c r="J848" s="20"/>
    </row>
    <row r="849">
      <c r="J849" s="20"/>
    </row>
    <row r="850">
      <c r="J850" s="20"/>
    </row>
    <row r="851">
      <c r="J851" s="20"/>
    </row>
    <row r="852">
      <c r="J852" s="20"/>
    </row>
    <row r="853">
      <c r="J853" s="20"/>
    </row>
    <row r="854">
      <c r="J854" s="20"/>
    </row>
    <row r="855">
      <c r="J855" s="20"/>
    </row>
    <row r="856">
      <c r="J856" s="20"/>
    </row>
    <row r="857">
      <c r="J857" s="20"/>
    </row>
    <row r="858">
      <c r="J858" s="20"/>
    </row>
    <row r="859">
      <c r="J859" s="20"/>
    </row>
    <row r="860">
      <c r="J860" s="20"/>
    </row>
    <row r="861">
      <c r="J861" s="20"/>
    </row>
    <row r="862">
      <c r="J862" s="20"/>
    </row>
    <row r="863">
      <c r="J863" s="20"/>
    </row>
    <row r="864">
      <c r="J864" s="20"/>
    </row>
    <row r="865">
      <c r="J865" s="20"/>
    </row>
    <row r="866">
      <c r="J866" s="20"/>
    </row>
    <row r="867">
      <c r="J867" s="20"/>
    </row>
    <row r="868">
      <c r="J868" s="20"/>
    </row>
    <row r="869">
      <c r="J869" s="20"/>
    </row>
    <row r="870">
      <c r="J870" s="20"/>
    </row>
    <row r="871">
      <c r="J871" s="20"/>
    </row>
    <row r="872">
      <c r="J872" s="20"/>
    </row>
    <row r="873">
      <c r="J873" s="20"/>
    </row>
    <row r="874">
      <c r="J874" s="20"/>
    </row>
    <row r="875">
      <c r="J875" s="20"/>
    </row>
    <row r="876">
      <c r="J876" s="20"/>
    </row>
    <row r="877">
      <c r="J877" s="20"/>
    </row>
    <row r="878">
      <c r="J878" s="20"/>
    </row>
    <row r="879">
      <c r="J879" s="20"/>
    </row>
    <row r="880">
      <c r="J880" s="20"/>
    </row>
    <row r="881">
      <c r="J881" s="20"/>
    </row>
    <row r="882">
      <c r="J882" s="20"/>
    </row>
    <row r="883">
      <c r="J883" s="20"/>
    </row>
    <row r="884">
      <c r="J884" s="20"/>
    </row>
    <row r="885">
      <c r="J885" s="20"/>
    </row>
    <row r="886">
      <c r="J886" s="20"/>
    </row>
    <row r="887">
      <c r="J887" s="20"/>
    </row>
    <row r="888">
      <c r="J888" s="20"/>
    </row>
    <row r="889">
      <c r="J889" s="20"/>
    </row>
    <row r="890">
      <c r="J890" s="20"/>
    </row>
    <row r="891">
      <c r="J891" s="20"/>
    </row>
    <row r="892">
      <c r="J892" s="20"/>
    </row>
    <row r="893">
      <c r="J893" s="20"/>
    </row>
    <row r="894">
      <c r="J894" s="20"/>
    </row>
    <row r="895">
      <c r="J895" s="20"/>
    </row>
    <row r="896">
      <c r="J896" s="20"/>
    </row>
    <row r="897">
      <c r="J897" s="20"/>
    </row>
    <row r="898">
      <c r="J898" s="20"/>
    </row>
    <row r="899">
      <c r="J899" s="20"/>
    </row>
    <row r="900">
      <c r="J900" s="20"/>
    </row>
    <row r="901">
      <c r="J901" s="20"/>
    </row>
    <row r="902">
      <c r="J902" s="20"/>
    </row>
    <row r="903">
      <c r="J903" s="20"/>
    </row>
    <row r="904">
      <c r="J904" s="20"/>
    </row>
    <row r="905">
      <c r="J905" s="20"/>
    </row>
    <row r="906">
      <c r="J906" s="20"/>
    </row>
    <row r="907">
      <c r="J907" s="20"/>
    </row>
    <row r="908">
      <c r="J908" s="20"/>
    </row>
    <row r="909">
      <c r="J909" s="20"/>
    </row>
    <row r="910">
      <c r="J910" s="20"/>
    </row>
    <row r="911">
      <c r="J911" s="20"/>
    </row>
    <row r="912">
      <c r="J912" s="20"/>
    </row>
    <row r="913">
      <c r="J913" s="20"/>
    </row>
    <row r="914">
      <c r="J914" s="20"/>
    </row>
    <row r="915">
      <c r="J915" s="20"/>
    </row>
    <row r="916">
      <c r="J916" s="20"/>
    </row>
    <row r="917">
      <c r="J917" s="20"/>
    </row>
    <row r="918">
      <c r="J918" s="20"/>
    </row>
    <row r="919">
      <c r="J919" s="20"/>
    </row>
    <row r="920">
      <c r="J920" s="20"/>
    </row>
    <row r="921">
      <c r="J921" s="20"/>
    </row>
    <row r="922">
      <c r="J922" s="20"/>
    </row>
    <row r="923">
      <c r="J923" s="20"/>
    </row>
    <row r="924">
      <c r="J924" s="20"/>
    </row>
    <row r="925">
      <c r="J925" s="20"/>
    </row>
    <row r="926">
      <c r="J926" s="20"/>
    </row>
    <row r="927">
      <c r="J927" s="20"/>
    </row>
    <row r="928">
      <c r="J928" s="20"/>
    </row>
    <row r="929">
      <c r="J929" s="20"/>
    </row>
    <row r="930">
      <c r="J930" s="20"/>
    </row>
    <row r="931">
      <c r="J931" s="20"/>
    </row>
    <row r="932">
      <c r="J932" s="20"/>
    </row>
    <row r="933">
      <c r="J933" s="20"/>
    </row>
    <row r="934">
      <c r="J934" s="20"/>
    </row>
    <row r="935">
      <c r="J935" s="20"/>
    </row>
    <row r="936">
      <c r="J936" s="20"/>
    </row>
    <row r="937">
      <c r="J937" s="20"/>
    </row>
    <row r="938">
      <c r="J938" s="20"/>
    </row>
    <row r="939">
      <c r="J939" s="20"/>
    </row>
    <row r="940">
      <c r="J940" s="20"/>
    </row>
    <row r="941">
      <c r="J941" s="20"/>
    </row>
    <row r="942">
      <c r="J942" s="20"/>
    </row>
    <row r="943">
      <c r="J943" s="20"/>
    </row>
    <row r="944">
      <c r="J944" s="20"/>
    </row>
    <row r="945">
      <c r="J945" s="20"/>
    </row>
    <row r="946">
      <c r="J946" s="20"/>
    </row>
    <row r="947">
      <c r="J947" s="20"/>
    </row>
    <row r="948">
      <c r="J948" s="20"/>
    </row>
    <row r="949">
      <c r="J949" s="20"/>
    </row>
    <row r="950">
      <c r="J950" s="20"/>
    </row>
    <row r="951">
      <c r="J951" s="20"/>
    </row>
    <row r="952">
      <c r="J952" s="20"/>
    </row>
    <row r="953">
      <c r="J953" s="20"/>
    </row>
    <row r="954">
      <c r="J954" s="20"/>
    </row>
    <row r="955">
      <c r="J955" s="20"/>
    </row>
    <row r="956">
      <c r="J956" s="20"/>
    </row>
    <row r="957">
      <c r="J957" s="20"/>
    </row>
    <row r="958">
      <c r="J958" s="20"/>
    </row>
    <row r="959">
      <c r="J959" s="20"/>
    </row>
    <row r="960">
      <c r="J960" s="20"/>
    </row>
    <row r="961">
      <c r="J961" s="20"/>
    </row>
    <row r="962">
      <c r="J962" s="20"/>
    </row>
    <row r="963">
      <c r="J963" s="20"/>
    </row>
    <row r="964">
      <c r="J964" s="20"/>
    </row>
    <row r="965">
      <c r="J965" s="20"/>
    </row>
    <row r="966">
      <c r="J966" s="20"/>
    </row>
    <row r="967">
      <c r="J967" s="20"/>
    </row>
    <row r="968">
      <c r="J968" s="20"/>
    </row>
    <row r="969">
      <c r="J969" s="20"/>
    </row>
    <row r="970">
      <c r="J970" s="20"/>
    </row>
    <row r="971">
      <c r="J971" s="20"/>
    </row>
    <row r="972">
      <c r="J972" s="20"/>
    </row>
    <row r="973">
      <c r="J973" s="20"/>
    </row>
    <row r="974">
      <c r="J974" s="20"/>
    </row>
    <row r="975">
      <c r="J975" s="20"/>
    </row>
    <row r="976">
      <c r="J976" s="20"/>
    </row>
    <row r="977">
      <c r="J977" s="20"/>
    </row>
    <row r="978">
      <c r="J978" s="20"/>
    </row>
    <row r="979">
      <c r="J979" s="20"/>
    </row>
    <row r="980">
      <c r="J980" s="20"/>
    </row>
    <row r="981">
      <c r="J981" s="20"/>
    </row>
    <row r="982">
      <c r="J982" s="20"/>
    </row>
    <row r="983">
      <c r="J983" s="20"/>
    </row>
    <row r="984">
      <c r="J984" s="20"/>
    </row>
    <row r="985">
      <c r="J985" s="20"/>
    </row>
    <row r="986">
      <c r="J986" s="20"/>
    </row>
    <row r="987">
      <c r="J987" s="20"/>
    </row>
    <row r="988">
      <c r="J988" s="20"/>
    </row>
    <row r="989">
      <c r="J989" s="20"/>
    </row>
    <row r="990">
      <c r="J990" s="20"/>
    </row>
    <row r="991">
      <c r="J991" s="20"/>
    </row>
    <row r="992">
      <c r="J992" s="20"/>
    </row>
    <row r="993">
      <c r="J993" s="20"/>
    </row>
    <row r="994">
      <c r="J994" s="20"/>
    </row>
    <row r="995">
      <c r="J995" s="20"/>
    </row>
    <row r="996">
      <c r="J996" s="20"/>
    </row>
    <row r="997">
      <c r="J997" s="20"/>
    </row>
    <row r="998">
      <c r="J998" s="20"/>
    </row>
    <row r="999">
      <c r="J999" s="20"/>
    </row>
    <row r="1000">
      <c r="J1000" s="20"/>
    </row>
    <row r="1001">
      <c r="J1001" s="20"/>
    </row>
    <row r="1002">
      <c r="J1002" s="20"/>
    </row>
    <row r="1003">
      <c r="J1003" s="20"/>
    </row>
    <row r="1004">
      <c r="J1004" s="20"/>
    </row>
    <row r="1005">
      <c r="J1005" s="20"/>
    </row>
    <row r="1006">
      <c r="J1006" s="20"/>
    </row>
    <row r="1007">
      <c r="J1007" s="20"/>
    </row>
    <row r="1008">
      <c r="J1008" s="20"/>
    </row>
    <row r="1009">
      <c r="J1009" s="20"/>
    </row>
    <row r="1010">
      <c r="J1010" s="20"/>
    </row>
    <row r="1011">
      <c r="J1011" s="20"/>
    </row>
    <row r="1012">
      <c r="J1012" s="20"/>
    </row>
    <row r="1013">
      <c r="J1013" s="20"/>
    </row>
    <row r="1014">
      <c r="J1014" s="20"/>
    </row>
    <row r="1015">
      <c r="J1015" s="20"/>
    </row>
    <row r="1016">
      <c r="J1016" s="20"/>
    </row>
  </sheetData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50" t="s">
        <v>6</v>
      </c>
    </row>
    <row r="2">
      <c r="A2" s="1" t="s">
        <v>8</v>
      </c>
      <c r="B2" s="1" t="s">
        <v>301</v>
      </c>
      <c r="C2" s="1" t="s">
        <v>302</v>
      </c>
      <c r="D2" s="11">
        <v>100000.0</v>
      </c>
      <c r="F2" s="11"/>
    </row>
    <row r="3">
      <c r="A3" s="1" t="s">
        <v>8</v>
      </c>
      <c r="B3" s="1" t="s">
        <v>301</v>
      </c>
      <c r="C3" s="1" t="s">
        <v>302</v>
      </c>
      <c r="D3" s="11">
        <v>100000.0</v>
      </c>
      <c r="F3" s="14"/>
    </row>
    <row r="4">
      <c r="A4" s="1" t="s">
        <v>14</v>
      </c>
      <c r="D4" s="14"/>
      <c r="E4" s="1" t="s">
        <v>34</v>
      </c>
      <c r="F4" s="11">
        <v>60000.0</v>
      </c>
      <c r="G4" s="1" t="s">
        <v>303</v>
      </c>
    </row>
    <row r="5">
      <c r="D5" s="14"/>
      <c r="E5" s="1" t="s">
        <v>259</v>
      </c>
      <c r="F5" s="11">
        <v>60000.0</v>
      </c>
    </row>
    <row r="6">
      <c r="D6" s="14"/>
      <c r="E6" s="1" t="s">
        <v>276</v>
      </c>
      <c r="F6" s="11">
        <v>60000.0</v>
      </c>
      <c r="G6" s="1" t="s">
        <v>277</v>
      </c>
    </row>
    <row r="7">
      <c r="A7" s="1" t="s">
        <v>8</v>
      </c>
      <c r="B7" s="1" t="s">
        <v>275</v>
      </c>
      <c r="C7" s="1" t="s">
        <v>302</v>
      </c>
      <c r="D7" s="11">
        <v>200000.0</v>
      </c>
      <c r="F7" s="14"/>
    </row>
    <row r="8">
      <c r="D8" s="14"/>
      <c r="E8" s="1" t="s">
        <v>304</v>
      </c>
      <c r="F8" s="11">
        <v>60000.0</v>
      </c>
    </row>
    <row r="9">
      <c r="D9" s="14"/>
      <c r="E9" s="1" t="s">
        <v>305</v>
      </c>
      <c r="F9" s="11">
        <v>50000.0</v>
      </c>
    </row>
    <row r="10">
      <c r="D10" s="14"/>
      <c r="E10" s="1" t="s">
        <v>279</v>
      </c>
      <c r="F10" s="11">
        <v>50000.0</v>
      </c>
    </row>
    <row r="11">
      <c r="D11" s="14"/>
      <c r="F11" s="14"/>
    </row>
    <row r="12">
      <c r="D12" s="14"/>
      <c r="F12" s="14"/>
    </row>
    <row r="13">
      <c r="D13" s="14"/>
      <c r="F13" s="14"/>
    </row>
    <row r="14">
      <c r="D14" s="14"/>
      <c r="F14" s="14"/>
    </row>
    <row r="15">
      <c r="D15" s="14"/>
      <c r="F15" s="14"/>
      <c r="H15" s="1" t="s">
        <v>26</v>
      </c>
    </row>
    <row r="16">
      <c r="D16" s="14">
        <f>SUM(D2:D7)</f>
        <v>400000</v>
      </c>
      <c r="F16" s="14">
        <f>SUM(F3:F10)</f>
        <v>340000</v>
      </c>
      <c r="H16" s="18">
        <f>F16/D16</f>
        <v>0.85</v>
      </c>
    </row>
    <row r="17">
      <c r="D17" s="14"/>
      <c r="F17" s="14"/>
    </row>
    <row r="18">
      <c r="D18" s="14"/>
      <c r="F18" s="14"/>
    </row>
    <row r="19">
      <c r="D19" s="14"/>
      <c r="F19" s="14"/>
    </row>
    <row r="20">
      <c r="D20" s="14"/>
      <c r="F20" s="14"/>
    </row>
    <row r="21">
      <c r="D21" s="14"/>
      <c r="F21" s="14"/>
    </row>
    <row r="22">
      <c r="D22" s="14"/>
      <c r="F22" s="14"/>
    </row>
    <row r="23">
      <c r="D23" s="14"/>
      <c r="F23" s="14"/>
    </row>
    <row r="24">
      <c r="D24" s="14"/>
      <c r="F24" s="14"/>
    </row>
    <row r="25">
      <c r="D25" s="14"/>
      <c r="F25" s="14"/>
    </row>
    <row r="26">
      <c r="D26" s="14"/>
      <c r="F26" s="14"/>
    </row>
    <row r="27">
      <c r="D27" s="14"/>
      <c r="F27" s="14"/>
    </row>
    <row r="28">
      <c r="D28" s="14"/>
      <c r="F28" s="14"/>
    </row>
    <row r="29">
      <c r="D29" s="14"/>
      <c r="F29" s="14"/>
    </row>
    <row r="30">
      <c r="D30" s="14"/>
      <c r="F30" s="14"/>
    </row>
    <row r="31">
      <c r="D31" s="14"/>
      <c r="F31" s="14"/>
    </row>
    <row r="32">
      <c r="D32" s="14"/>
      <c r="F32" s="14"/>
    </row>
    <row r="33">
      <c r="D33" s="14"/>
      <c r="F33" s="14"/>
    </row>
    <row r="34">
      <c r="D34" s="14"/>
      <c r="F34" s="14"/>
    </row>
    <row r="35">
      <c r="D35" s="14"/>
      <c r="F35" s="14"/>
    </row>
    <row r="36">
      <c r="D36" s="14"/>
      <c r="F36" s="14"/>
    </row>
    <row r="37">
      <c r="D37" s="14"/>
      <c r="F37" s="14"/>
    </row>
    <row r="38">
      <c r="D38" s="14"/>
      <c r="F38" s="14"/>
    </row>
    <row r="39">
      <c r="D39" s="14"/>
      <c r="F39" s="14"/>
    </row>
    <row r="40">
      <c r="D40" s="14"/>
      <c r="F40" s="14"/>
    </row>
    <row r="41">
      <c r="D41" s="14"/>
      <c r="F41" s="14"/>
    </row>
    <row r="42">
      <c r="D42" s="14"/>
      <c r="F42" s="14"/>
    </row>
    <row r="43">
      <c r="D43" s="14"/>
      <c r="F43" s="14"/>
    </row>
    <row r="44">
      <c r="D44" s="14"/>
      <c r="F44" s="14"/>
    </row>
    <row r="45">
      <c r="D45" s="14"/>
      <c r="F45" s="14"/>
    </row>
    <row r="46">
      <c r="D46" s="14"/>
      <c r="F46" s="14"/>
    </row>
    <row r="47">
      <c r="D47" s="14"/>
      <c r="F47" s="14"/>
    </row>
    <row r="48">
      <c r="D48" s="14"/>
      <c r="F48" s="14"/>
    </row>
    <row r="49">
      <c r="D49" s="14"/>
      <c r="F49" s="14"/>
    </row>
    <row r="50">
      <c r="D50" s="14"/>
      <c r="F50" s="14"/>
    </row>
    <row r="51">
      <c r="D51" s="14"/>
      <c r="F51" s="14"/>
    </row>
    <row r="52">
      <c r="D52" s="14"/>
      <c r="F52" s="14"/>
    </row>
    <row r="53">
      <c r="D53" s="14"/>
      <c r="F53" s="14"/>
    </row>
    <row r="54">
      <c r="D54" s="14"/>
      <c r="F54" s="14"/>
    </row>
    <row r="55">
      <c r="D55" s="14"/>
      <c r="F55" s="14"/>
    </row>
    <row r="56">
      <c r="D56" s="14"/>
      <c r="F56" s="14"/>
    </row>
    <row r="57">
      <c r="D57" s="14"/>
      <c r="F57" s="14"/>
    </row>
    <row r="58">
      <c r="D58" s="14"/>
      <c r="F58" s="14"/>
    </row>
    <row r="59">
      <c r="D59" s="14"/>
      <c r="F59" s="14"/>
    </row>
    <row r="60">
      <c r="D60" s="14"/>
      <c r="F60" s="14"/>
    </row>
    <row r="61">
      <c r="D61" s="14"/>
      <c r="F61" s="14"/>
    </row>
    <row r="62">
      <c r="D62" s="14"/>
      <c r="F62" s="14"/>
    </row>
    <row r="63">
      <c r="D63" s="14"/>
      <c r="F63" s="14"/>
    </row>
    <row r="64">
      <c r="D64" s="14"/>
      <c r="F64" s="14"/>
    </row>
    <row r="65">
      <c r="D65" s="14"/>
      <c r="F65" s="14"/>
    </row>
    <row r="66">
      <c r="D66" s="14"/>
      <c r="F66" s="14"/>
    </row>
    <row r="67">
      <c r="D67" s="14"/>
      <c r="F67" s="14"/>
    </row>
    <row r="68">
      <c r="D68" s="14"/>
      <c r="F68" s="14"/>
    </row>
    <row r="69">
      <c r="D69" s="14"/>
      <c r="F69" s="14"/>
    </row>
    <row r="70">
      <c r="D70" s="14"/>
      <c r="F70" s="14"/>
    </row>
    <row r="71">
      <c r="D71" s="14"/>
      <c r="F71" s="14"/>
    </row>
    <row r="72">
      <c r="D72" s="14"/>
      <c r="F72" s="14"/>
    </row>
    <row r="73">
      <c r="D73" s="14"/>
      <c r="F73" s="14"/>
    </row>
    <row r="74">
      <c r="D74" s="14"/>
      <c r="F74" s="14"/>
    </row>
    <row r="75">
      <c r="D75" s="14"/>
      <c r="F75" s="14"/>
    </row>
    <row r="76">
      <c r="D76" s="14"/>
      <c r="F76" s="14"/>
    </row>
    <row r="77">
      <c r="D77" s="14"/>
      <c r="F77" s="14"/>
    </row>
    <row r="78">
      <c r="D78" s="14"/>
      <c r="F78" s="14"/>
    </row>
    <row r="79">
      <c r="D79" s="14"/>
      <c r="F79" s="14"/>
    </row>
    <row r="80">
      <c r="D80" s="14"/>
      <c r="F80" s="14"/>
    </row>
    <row r="81">
      <c r="D81" s="14"/>
      <c r="F81" s="14"/>
    </row>
    <row r="82">
      <c r="D82" s="14"/>
      <c r="F82" s="14"/>
    </row>
    <row r="83">
      <c r="D83" s="14"/>
      <c r="F83" s="14"/>
    </row>
    <row r="84">
      <c r="D84" s="14"/>
      <c r="F84" s="14"/>
    </row>
    <row r="85">
      <c r="D85" s="14"/>
      <c r="F85" s="14"/>
    </row>
    <row r="86">
      <c r="D86" s="14"/>
      <c r="F86" s="14"/>
    </row>
    <row r="87">
      <c r="D87" s="14"/>
      <c r="F87" s="14"/>
    </row>
    <row r="88">
      <c r="D88" s="14"/>
      <c r="F88" s="14"/>
    </row>
    <row r="89">
      <c r="D89" s="14"/>
      <c r="F89" s="14"/>
    </row>
    <row r="90">
      <c r="D90" s="14"/>
      <c r="F90" s="14"/>
    </row>
    <row r="91">
      <c r="D91" s="14"/>
      <c r="F91" s="14"/>
    </row>
    <row r="92">
      <c r="D92" s="14"/>
      <c r="F92" s="14"/>
    </row>
    <row r="93">
      <c r="D93" s="14"/>
      <c r="F93" s="14"/>
    </row>
    <row r="94">
      <c r="D94" s="14"/>
      <c r="F94" s="14"/>
    </row>
    <row r="95">
      <c r="D95" s="14"/>
      <c r="F95" s="14"/>
    </row>
    <row r="96">
      <c r="D96" s="14"/>
      <c r="F96" s="14"/>
    </row>
    <row r="97">
      <c r="D97" s="14"/>
      <c r="F97" s="14"/>
    </row>
    <row r="98">
      <c r="D98" s="14"/>
      <c r="F98" s="14"/>
    </row>
    <row r="99">
      <c r="D99" s="14"/>
      <c r="F99" s="14"/>
    </row>
    <row r="100">
      <c r="D100" s="14"/>
      <c r="F100" s="14"/>
    </row>
    <row r="101">
      <c r="D101" s="14"/>
      <c r="F101" s="14"/>
    </row>
    <row r="102">
      <c r="D102" s="14"/>
      <c r="F102" s="14"/>
    </row>
    <row r="103">
      <c r="D103" s="14"/>
      <c r="F103" s="14"/>
    </row>
    <row r="104">
      <c r="D104" s="14"/>
      <c r="F104" s="14"/>
    </row>
    <row r="105">
      <c r="D105" s="14"/>
      <c r="F105" s="14"/>
    </row>
    <row r="106">
      <c r="D106" s="14"/>
      <c r="F106" s="14"/>
    </row>
    <row r="107">
      <c r="D107" s="14"/>
      <c r="F107" s="14"/>
    </row>
    <row r="108">
      <c r="D108" s="14"/>
      <c r="F108" s="14"/>
    </row>
    <row r="109">
      <c r="D109" s="14"/>
      <c r="F109" s="14"/>
    </row>
    <row r="110">
      <c r="D110" s="14"/>
      <c r="F110" s="14"/>
    </row>
    <row r="111">
      <c r="D111" s="14"/>
      <c r="F111" s="14"/>
    </row>
    <row r="112">
      <c r="D112" s="14"/>
      <c r="F112" s="14"/>
    </row>
    <row r="113">
      <c r="D113" s="14"/>
      <c r="F113" s="14"/>
    </row>
    <row r="114">
      <c r="D114" s="14"/>
      <c r="F114" s="14"/>
    </row>
    <row r="115">
      <c r="D115" s="14"/>
      <c r="F115" s="14"/>
    </row>
    <row r="116">
      <c r="D116" s="14"/>
      <c r="F116" s="14"/>
    </row>
    <row r="117">
      <c r="D117" s="14"/>
      <c r="F117" s="14"/>
    </row>
    <row r="118">
      <c r="D118" s="14"/>
      <c r="F118" s="14"/>
    </row>
    <row r="119">
      <c r="D119" s="14"/>
      <c r="F119" s="14"/>
    </row>
    <row r="120">
      <c r="D120" s="14"/>
      <c r="F120" s="14"/>
    </row>
    <row r="121">
      <c r="D121" s="14"/>
      <c r="F121" s="14"/>
    </row>
    <row r="122">
      <c r="D122" s="14"/>
      <c r="F122" s="14"/>
    </row>
    <row r="123">
      <c r="D123" s="14"/>
      <c r="F123" s="14"/>
    </row>
    <row r="124">
      <c r="D124" s="14"/>
      <c r="F124" s="14"/>
    </row>
    <row r="125">
      <c r="D125" s="14"/>
      <c r="F125" s="14"/>
    </row>
    <row r="126">
      <c r="D126" s="14"/>
      <c r="F126" s="14"/>
    </row>
    <row r="127">
      <c r="D127" s="14"/>
      <c r="F127" s="14"/>
    </row>
    <row r="128">
      <c r="D128" s="14"/>
      <c r="F128" s="14"/>
    </row>
    <row r="129">
      <c r="D129" s="14"/>
      <c r="F129" s="14"/>
    </row>
    <row r="130">
      <c r="D130" s="14"/>
      <c r="F130" s="14"/>
    </row>
    <row r="131">
      <c r="D131" s="14"/>
      <c r="F131" s="14"/>
    </row>
    <row r="132">
      <c r="D132" s="14"/>
      <c r="F132" s="14"/>
    </row>
    <row r="133">
      <c r="D133" s="14"/>
      <c r="F133" s="14"/>
    </row>
    <row r="134">
      <c r="D134" s="14"/>
      <c r="F134" s="14"/>
    </row>
    <row r="135">
      <c r="D135" s="14"/>
      <c r="F135" s="14"/>
    </row>
    <row r="136">
      <c r="D136" s="14"/>
      <c r="F136" s="14"/>
    </row>
    <row r="137">
      <c r="D137" s="14"/>
      <c r="F137" s="14"/>
    </row>
    <row r="138">
      <c r="D138" s="14"/>
      <c r="F138" s="14"/>
    </row>
    <row r="139">
      <c r="D139" s="14"/>
      <c r="F139" s="14"/>
    </row>
    <row r="140">
      <c r="D140" s="14"/>
      <c r="F140" s="14"/>
    </row>
    <row r="141">
      <c r="D141" s="14"/>
      <c r="F141" s="14"/>
    </row>
    <row r="142">
      <c r="D142" s="14"/>
      <c r="F142" s="14"/>
    </row>
    <row r="143">
      <c r="D143" s="14"/>
      <c r="F143" s="14"/>
    </row>
    <row r="144">
      <c r="D144" s="14"/>
      <c r="F144" s="14"/>
    </row>
    <row r="145">
      <c r="D145" s="14"/>
      <c r="F145" s="14"/>
    </row>
    <row r="146">
      <c r="D146" s="14"/>
      <c r="F146" s="14"/>
    </row>
    <row r="147">
      <c r="D147" s="14"/>
      <c r="F147" s="14"/>
    </row>
    <row r="148">
      <c r="D148" s="14"/>
      <c r="F148" s="14"/>
    </row>
    <row r="149">
      <c r="D149" s="14"/>
      <c r="F149" s="14"/>
    </row>
    <row r="150">
      <c r="D150" s="14"/>
      <c r="F150" s="14"/>
    </row>
    <row r="151">
      <c r="D151" s="14"/>
      <c r="F151" s="14"/>
    </row>
    <row r="152">
      <c r="D152" s="14"/>
      <c r="F152" s="14"/>
    </row>
    <row r="153">
      <c r="D153" s="14"/>
      <c r="F153" s="14"/>
    </row>
    <row r="154">
      <c r="D154" s="14"/>
      <c r="F154" s="14"/>
    </row>
    <row r="155">
      <c r="D155" s="14"/>
      <c r="F155" s="14"/>
    </row>
    <row r="156">
      <c r="D156" s="14"/>
      <c r="F156" s="14"/>
    </row>
    <row r="157">
      <c r="D157" s="14"/>
      <c r="F157" s="14"/>
    </row>
    <row r="158">
      <c r="D158" s="14"/>
      <c r="F158" s="14"/>
    </row>
    <row r="159">
      <c r="D159" s="14"/>
      <c r="F159" s="14"/>
    </row>
    <row r="160">
      <c r="D160" s="14"/>
      <c r="F160" s="14"/>
    </row>
    <row r="161">
      <c r="D161" s="14"/>
      <c r="F161" s="14"/>
    </row>
    <row r="162">
      <c r="D162" s="14"/>
      <c r="F162" s="14"/>
    </row>
    <row r="163">
      <c r="D163" s="14"/>
      <c r="F163" s="14"/>
    </row>
    <row r="164">
      <c r="D164" s="14"/>
      <c r="F164" s="14"/>
    </row>
    <row r="165">
      <c r="D165" s="14"/>
      <c r="F165" s="14"/>
    </row>
    <row r="166">
      <c r="D166" s="14"/>
      <c r="F166" s="14"/>
    </row>
    <row r="167">
      <c r="D167" s="14"/>
      <c r="F167" s="14"/>
    </row>
    <row r="168">
      <c r="D168" s="14"/>
      <c r="F168" s="14"/>
    </row>
    <row r="169">
      <c r="D169" s="14"/>
      <c r="F169" s="14"/>
    </row>
    <row r="170">
      <c r="D170" s="14"/>
      <c r="F170" s="14"/>
    </row>
    <row r="171">
      <c r="D171" s="14"/>
      <c r="F171" s="14"/>
    </row>
    <row r="172">
      <c r="D172" s="14"/>
      <c r="F172" s="14"/>
    </row>
    <row r="173">
      <c r="D173" s="14"/>
      <c r="F173" s="14"/>
    </row>
    <row r="174">
      <c r="D174" s="14"/>
      <c r="F174" s="14"/>
    </row>
    <row r="175">
      <c r="D175" s="14"/>
      <c r="F175" s="14"/>
    </row>
    <row r="176">
      <c r="D176" s="14"/>
      <c r="F176" s="14"/>
    </row>
    <row r="177">
      <c r="D177" s="14"/>
      <c r="F177" s="14"/>
    </row>
    <row r="178">
      <c r="D178" s="14"/>
      <c r="F178" s="14"/>
    </row>
    <row r="179">
      <c r="D179" s="14"/>
      <c r="F179" s="14"/>
    </row>
    <row r="180">
      <c r="D180" s="14"/>
      <c r="F180" s="14"/>
    </row>
    <row r="181">
      <c r="D181" s="14"/>
      <c r="F181" s="14"/>
    </row>
    <row r="182">
      <c r="D182" s="14"/>
      <c r="F182" s="14"/>
    </row>
    <row r="183">
      <c r="D183" s="14"/>
      <c r="F183" s="14"/>
    </row>
    <row r="184">
      <c r="D184" s="14"/>
      <c r="F184" s="14"/>
    </row>
    <row r="185">
      <c r="D185" s="14"/>
      <c r="F185" s="14"/>
    </row>
    <row r="186">
      <c r="D186" s="14"/>
      <c r="F186" s="14"/>
    </row>
    <row r="187">
      <c r="D187" s="14"/>
      <c r="F187" s="14"/>
    </row>
    <row r="188">
      <c r="D188" s="14"/>
      <c r="F188" s="14"/>
    </row>
    <row r="189">
      <c r="D189" s="14"/>
      <c r="F189" s="14"/>
    </row>
    <row r="190">
      <c r="D190" s="14"/>
      <c r="F190" s="14"/>
    </row>
    <row r="191">
      <c r="D191" s="14"/>
      <c r="F191" s="14"/>
    </row>
    <row r="192">
      <c r="D192" s="14"/>
      <c r="F192" s="14"/>
    </row>
    <row r="193">
      <c r="D193" s="14"/>
      <c r="F193" s="14"/>
    </row>
    <row r="194">
      <c r="D194" s="14"/>
      <c r="F194" s="14"/>
    </row>
    <row r="195">
      <c r="D195" s="14"/>
      <c r="F195" s="14"/>
    </row>
    <row r="196">
      <c r="D196" s="14"/>
      <c r="F196" s="14"/>
    </row>
    <row r="197">
      <c r="D197" s="14"/>
      <c r="F197" s="14"/>
    </row>
    <row r="198">
      <c r="D198" s="14"/>
      <c r="F198" s="14"/>
    </row>
    <row r="199">
      <c r="D199" s="14"/>
      <c r="F199" s="14"/>
    </row>
    <row r="200">
      <c r="D200" s="14"/>
      <c r="F200" s="14"/>
    </row>
    <row r="201">
      <c r="D201" s="14"/>
      <c r="F201" s="14"/>
    </row>
    <row r="202">
      <c r="D202" s="14"/>
      <c r="F202" s="14"/>
    </row>
    <row r="203">
      <c r="D203" s="14"/>
      <c r="F203" s="14"/>
    </row>
    <row r="204">
      <c r="D204" s="14"/>
      <c r="F204" s="14"/>
    </row>
    <row r="205">
      <c r="D205" s="14"/>
      <c r="F205" s="14"/>
    </row>
    <row r="206">
      <c r="D206" s="14"/>
      <c r="F206" s="14"/>
    </row>
    <row r="207">
      <c r="D207" s="14"/>
      <c r="F207" s="14"/>
    </row>
    <row r="208">
      <c r="D208" s="14"/>
      <c r="F208" s="14"/>
    </row>
    <row r="209">
      <c r="D209" s="14"/>
      <c r="F209" s="14"/>
    </row>
    <row r="210">
      <c r="D210" s="14"/>
      <c r="F210" s="14"/>
    </row>
    <row r="211">
      <c r="D211" s="14"/>
      <c r="F211" s="14"/>
    </row>
    <row r="212">
      <c r="D212" s="14"/>
      <c r="F212" s="14"/>
    </row>
    <row r="213">
      <c r="D213" s="14"/>
      <c r="F213" s="14"/>
    </row>
    <row r="214">
      <c r="D214" s="14"/>
      <c r="F214" s="14"/>
    </row>
    <row r="215">
      <c r="D215" s="14"/>
      <c r="F215" s="14"/>
    </row>
    <row r="216">
      <c r="D216" s="14"/>
      <c r="F216" s="14"/>
    </row>
    <row r="217">
      <c r="D217" s="14"/>
      <c r="F217" s="14"/>
    </row>
    <row r="218">
      <c r="D218" s="14"/>
      <c r="F218" s="14"/>
    </row>
    <row r="219">
      <c r="D219" s="14"/>
      <c r="F219" s="14"/>
    </row>
    <row r="220">
      <c r="D220" s="14"/>
      <c r="F220" s="14"/>
    </row>
    <row r="221">
      <c r="D221" s="14"/>
      <c r="F221" s="14"/>
    </row>
    <row r="222">
      <c r="D222" s="14"/>
      <c r="F222" s="14"/>
    </row>
    <row r="223">
      <c r="D223" s="14"/>
      <c r="F223" s="14"/>
    </row>
    <row r="224">
      <c r="D224" s="14"/>
      <c r="F224" s="14"/>
    </row>
    <row r="225">
      <c r="D225" s="14"/>
      <c r="F225" s="14"/>
    </row>
    <row r="226">
      <c r="D226" s="14"/>
      <c r="F226" s="14"/>
    </row>
    <row r="227">
      <c r="D227" s="14"/>
      <c r="F227" s="14"/>
    </row>
    <row r="228">
      <c r="D228" s="14"/>
      <c r="F228" s="14"/>
    </row>
    <row r="229">
      <c r="D229" s="14"/>
      <c r="F229" s="14"/>
    </row>
    <row r="230">
      <c r="D230" s="14"/>
      <c r="F230" s="14"/>
    </row>
    <row r="231">
      <c r="D231" s="14"/>
      <c r="F231" s="14"/>
    </row>
    <row r="232">
      <c r="D232" s="14"/>
      <c r="F232" s="14"/>
    </row>
    <row r="233">
      <c r="D233" s="14"/>
      <c r="F233" s="14"/>
    </row>
    <row r="234">
      <c r="D234" s="14"/>
      <c r="F234" s="14"/>
    </row>
    <row r="235">
      <c r="D235" s="14"/>
      <c r="F235" s="14"/>
    </row>
    <row r="236">
      <c r="D236" s="14"/>
      <c r="F236" s="14"/>
    </row>
    <row r="237">
      <c r="D237" s="14"/>
      <c r="F237" s="14"/>
    </row>
    <row r="238">
      <c r="D238" s="14"/>
      <c r="F238" s="14"/>
    </row>
    <row r="239">
      <c r="D239" s="14"/>
      <c r="F239" s="14"/>
    </row>
    <row r="240">
      <c r="D240" s="14"/>
      <c r="F240" s="14"/>
    </row>
    <row r="241">
      <c r="D241" s="14"/>
      <c r="F241" s="14"/>
    </row>
    <row r="242">
      <c r="D242" s="14"/>
      <c r="F242" s="14"/>
    </row>
    <row r="243">
      <c r="D243" s="14"/>
      <c r="F243" s="14"/>
    </row>
    <row r="244">
      <c r="D244" s="14"/>
      <c r="F244" s="14"/>
    </row>
    <row r="245">
      <c r="D245" s="14"/>
      <c r="F245" s="14"/>
    </row>
    <row r="246">
      <c r="D246" s="14"/>
      <c r="F246" s="14"/>
    </row>
    <row r="247">
      <c r="D247" s="14"/>
      <c r="F247" s="14"/>
    </row>
    <row r="248">
      <c r="D248" s="14"/>
      <c r="F248" s="14"/>
    </row>
    <row r="249">
      <c r="D249" s="14"/>
      <c r="F249" s="14"/>
    </row>
    <row r="250">
      <c r="D250" s="14"/>
      <c r="F250" s="14"/>
    </row>
    <row r="251">
      <c r="D251" s="14"/>
      <c r="F251" s="14"/>
    </row>
    <row r="252">
      <c r="D252" s="14"/>
      <c r="F252" s="14"/>
    </row>
    <row r="253">
      <c r="D253" s="14"/>
      <c r="F253" s="14"/>
    </row>
    <row r="254">
      <c r="D254" s="14"/>
      <c r="F254" s="14"/>
    </row>
    <row r="255">
      <c r="D255" s="14"/>
      <c r="F255" s="14"/>
    </row>
    <row r="256">
      <c r="D256" s="14"/>
      <c r="F256" s="14"/>
    </row>
    <row r="257">
      <c r="D257" s="14"/>
      <c r="F257" s="14"/>
    </row>
    <row r="258">
      <c r="D258" s="14"/>
      <c r="F258" s="14"/>
    </row>
    <row r="259">
      <c r="D259" s="14"/>
      <c r="F259" s="14"/>
    </row>
    <row r="260">
      <c r="D260" s="14"/>
      <c r="F260" s="14"/>
    </row>
    <row r="261">
      <c r="D261" s="14"/>
      <c r="F261" s="14"/>
    </row>
    <row r="262">
      <c r="D262" s="14"/>
      <c r="F262" s="14"/>
    </row>
    <row r="263">
      <c r="D263" s="14"/>
      <c r="F263" s="14"/>
    </row>
    <row r="264">
      <c r="D264" s="14"/>
      <c r="F264" s="14"/>
    </row>
    <row r="265">
      <c r="D265" s="14"/>
      <c r="F265" s="14"/>
    </row>
    <row r="266">
      <c r="D266" s="14"/>
      <c r="F266" s="14"/>
    </row>
    <row r="267">
      <c r="D267" s="14"/>
      <c r="F267" s="14"/>
    </row>
    <row r="268">
      <c r="D268" s="14"/>
      <c r="F268" s="14"/>
    </row>
    <row r="269">
      <c r="D269" s="14"/>
      <c r="F269" s="14"/>
    </row>
    <row r="270">
      <c r="D270" s="14"/>
      <c r="F270" s="14"/>
    </row>
    <row r="271">
      <c r="D271" s="14"/>
      <c r="F271" s="14"/>
    </row>
    <row r="272">
      <c r="D272" s="14"/>
      <c r="F272" s="14"/>
    </row>
    <row r="273">
      <c r="D273" s="14"/>
      <c r="F273" s="14"/>
    </row>
    <row r="274">
      <c r="D274" s="14"/>
      <c r="F274" s="14"/>
    </row>
    <row r="275">
      <c r="D275" s="14"/>
      <c r="F275" s="14"/>
    </row>
    <row r="276">
      <c r="D276" s="14"/>
      <c r="F276" s="14"/>
    </row>
    <row r="277">
      <c r="D277" s="14"/>
      <c r="F277" s="14"/>
    </row>
    <row r="278">
      <c r="D278" s="14"/>
      <c r="F278" s="14"/>
    </row>
    <row r="279">
      <c r="D279" s="14"/>
      <c r="F279" s="14"/>
    </row>
    <row r="280">
      <c r="D280" s="14"/>
      <c r="F280" s="14"/>
    </row>
    <row r="281">
      <c r="D281" s="14"/>
      <c r="F281" s="14"/>
    </row>
    <row r="282">
      <c r="D282" s="14"/>
      <c r="F282" s="14"/>
    </row>
    <row r="283">
      <c r="D283" s="14"/>
      <c r="F283" s="14"/>
    </row>
    <row r="284">
      <c r="D284" s="14"/>
      <c r="F284" s="14"/>
    </row>
    <row r="285">
      <c r="D285" s="14"/>
      <c r="F285" s="14"/>
    </row>
    <row r="286">
      <c r="D286" s="14"/>
      <c r="F286" s="14"/>
    </row>
    <row r="287">
      <c r="D287" s="14"/>
      <c r="F287" s="14"/>
    </row>
    <row r="288">
      <c r="D288" s="14"/>
      <c r="F288" s="14"/>
    </row>
    <row r="289">
      <c r="D289" s="14"/>
      <c r="F289" s="14"/>
    </row>
    <row r="290">
      <c r="D290" s="14"/>
      <c r="F290" s="14"/>
    </row>
    <row r="291">
      <c r="D291" s="14"/>
      <c r="F291" s="14"/>
    </row>
    <row r="292">
      <c r="D292" s="14"/>
      <c r="F292" s="14"/>
    </row>
    <row r="293">
      <c r="D293" s="14"/>
      <c r="F293" s="14"/>
    </row>
    <row r="294">
      <c r="D294" s="14"/>
      <c r="F294" s="14"/>
    </row>
    <row r="295">
      <c r="D295" s="14"/>
      <c r="F295" s="14"/>
    </row>
    <row r="296">
      <c r="D296" s="14"/>
      <c r="F296" s="14"/>
    </row>
    <row r="297">
      <c r="D297" s="14"/>
      <c r="F297" s="14"/>
    </row>
    <row r="298">
      <c r="D298" s="14"/>
      <c r="F298" s="14"/>
    </row>
    <row r="299">
      <c r="D299" s="14"/>
      <c r="F299" s="14"/>
    </row>
    <row r="300">
      <c r="D300" s="14"/>
      <c r="F300" s="14"/>
    </row>
    <row r="301">
      <c r="D301" s="14"/>
      <c r="F301" s="14"/>
    </row>
    <row r="302">
      <c r="D302" s="14"/>
      <c r="F302" s="14"/>
    </row>
    <row r="303">
      <c r="D303" s="14"/>
      <c r="F303" s="14"/>
    </row>
    <row r="304">
      <c r="D304" s="14"/>
      <c r="F304" s="14"/>
    </row>
    <row r="305">
      <c r="D305" s="14"/>
      <c r="F305" s="14"/>
    </row>
    <row r="306">
      <c r="D306" s="14"/>
      <c r="F306" s="14"/>
    </row>
    <row r="307">
      <c r="D307" s="14"/>
      <c r="F307" s="14"/>
    </row>
    <row r="308">
      <c r="D308" s="14"/>
      <c r="F308" s="14"/>
    </row>
    <row r="309">
      <c r="D309" s="14"/>
      <c r="F309" s="14"/>
    </row>
    <row r="310">
      <c r="D310" s="14"/>
      <c r="F310" s="14"/>
    </row>
    <row r="311">
      <c r="D311" s="14"/>
      <c r="F311" s="14"/>
    </row>
    <row r="312">
      <c r="D312" s="14"/>
      <c r="F312" s="14"/>
    </row>
    <row r="313">
      <c r="D313" s="14"/>
      <c r="F313" s="14"/>
    </row>
    <row r="314">
      <c r="D314" s="14"/>
      <c r="F314" s="14"/>
    </row>
    <row r="315">
      <c r="D315" s="14"/>
      <c r="F315" s="14"/>
    </row>
    <row r="316">
      <c r="D316" s="14"/>
      <c r="F316" s="14"/>
    </row>
    <row r="317">
      <c r="D317" s="14"/>
      <c r="F317" s="14"/>
    </row>
    <row r="318">
      <c r="D318" s="14"/>
      <c r="F318" s="14"/>
    </row>
    <row r="319">
      <c r="D319" s="14"/>
      <c r="F319" s="14"/>
    </row>
    <row r="320">
      <c r="D320" s="14"/>
      <c r="F320" s="14"/>
    </row>
    <row r="321">
      <c r="D321" s="14"/>
      <c r="F321" s="14"/>
    </row>
    <row r="322">
      <c r="D322" s="14"/>
      <c r="F322" s="14"/>
    </row>
    <row r="323">
      <c r="D323" s="14"/>
      <c r="F323" s="14"/>
    </row>
    <row r="324">
      <c r="D324" s="14"/>
      <c r="F324" s="14"/>
    </row>
    <row r="325">
      <c r="D325" s="14"/>
      <c r="F325" s="14"/>
    </row>
    <row r="326">
      <c r="D326" s="14"/>
      <c r="F326" s="14"/>
    </row>
    <row r="327">
      <c r="D327" s="14"/>
      <c r="F327" s="14"/>
    </row>
    <row r="328">
      <c r="D328" s="14"/>
      <c r="F328" s="14"/>
    </row>
    <row r="329">
      <c r="D329" s="14"/>
      <c r="F329" s="14"/>
    </row>
    <row r="330">
      <c r="D330" s="14"/>
      <c r="F330" s="14"/>
    </row>
    <row r="331">
      <c r="D331" s="14"/>
      <c r="F331" s="14"/>
    </row>
    <row r="332">
      <c r="D332" s="14"/>
      <c r="F332" s="14"/>
    </row>
    <row r="333">
      <c r="D333" s="14"/>
      <c r="F333" s="14"/>
    </row>
    <row r="334">
      <c r="D334" s="14"/>
      <c r="F334" s="14"/>
    </row>
    <row r="335">
      <c r="D335" s="14"/>
      <c r="F335" s="14"/>
    </row>
    <row r="336">
      <c r="D336" s="14"/>
      <c r="F336" s="14"/>
    </row>
    <row r="337">
      <c r="D337" s="14"/>
      <c r="F337" s="14"/>
    </row>
    <row r="338">
      <c r="D338" s="14"/>
      <c r="F338" s="14"/>
    </row>
    <row r="339">
      <c r="D339" s="14"/>
      <c r="F339" s="14"/>
    </row>
    <row r="340">
      <c r="D340" s="14"/>
      <c r="F340" s="14"/>
    </row>
    <row r="341">
      <c r="D341" s="14"/>
      <c r="F341" s="14"/>
    </row>
    <row r="342">
      <c r="D342" s="14"/>
      <c r="F342" s="14"/>
    </row>
    <row r="343">
      <c r="D343" s="14"/>
      <c r="F343" s="14"/>
    </row>
    <row r="344">
      <c r="D344" s="14"/>
      <c r="F344" s="14"/>
    </row>
    <row r="345">
      <c r="D345" s="14"/>
      <c r="F345" s="14"/>
    </row>
    <row r="346">
      <c r="D346" s="14"/>
      <c r="F346" s="14"/>
    </row>
    <row r="347">
      <c r="D347" s="14"/>
      <c r="F347" s="14"/>
    </row>
    <row r="348">
      <c r="D348" s="14"/>
      <c r="F348" s="14"/>
    </row>
    <row r="349">
      <c r="D349" s="14"/>
      <c r="F349" s="14"/>
    </row>
    <row r="350">
      <c r="D350" s="14"/>
      <c r="F350" s="14"/>
    </row>
    <row r="351">
      <c r="D351" s="14"/>
      <c r="F351" s="14"/>
    </row>
    <row r="352">
      <c r="D352" s="14"/>
      <c r="F352" s="14"/>
    </row>
    <row r="353">
      <c r="D353" s="14"/>
      <c r="F353" s="14"/>
    </row>
    <row r="354">
      <c r="D354" s="14"/>
      <c r="F354" s="14"/>
    </row>
    <row r="355">
      <c r="D355" s="14"/>
      <c r="F355" s="14"/>
    </row>
    <row r="356">
      <c r="D356" s="14"/>
      <c r="F356" s="14"/>
    </row>
    <row r="357">
      <c r="D357" s="14"/>
      <c r="F357" s="14"/>
    </row>
    <row r="358">
      <c r="D358" s="14"/>
      <c r="F358" s="14"/>
    </row>
    <row r="359">
      <c r="D359" s="14"/>
      <c r="F359" s="14"/>
    </row>
    <row r="360">
      <c r="D360" s="14"/>
      <c r="F360" s="14"/>
    </row>
    <row r="361">
      <c r="D361" s="14"/>
      <c r="F361" s="14"/>
    </row>
    <row r="362">
      <c r="D362" s="14"/>
      <c r="F362" s="14"/>
    </row>
    <row r="363">
      <c r="D363" s="14"/>
      <c r="F363" s="14"/>
    </row>
    <row r="364">
      <c r="D364" s="14"/>
      <c r="F364" s="14"/>
    </row>
    <row r="365">
      <c r="D365" s="14"/>
      <c r="F365" s="14"/>
    </row>
    <row r="366">
      <c r="D366" s="14"/>
      <c r="F366" s="14"/>
    </row>
    <row r="367">
      <c r="D367" s="14"/>
      <c r="F367" s="14"/>
    </row>
    <row r="368">
      <c r="D368" s="14"/>
      <c r="F368" s="14"/>
    </row>
    <row r="369">
      <c r="D369" s="14"/>
      <c r="F369" s="14"/>
    </row>
    <row r="370">
      <c r="D370" s="14"/>
      <c r="F370" s="14"/>
    </row>
    <row r="371">
      <c r="D371" s="14"/>
      <c r="F371" s="14"/>
    </row>
    <row r="372">
      <c r="D372" s="14"/>
      <c r="F372" s="14"/>
    </row>
    <row r="373">
      <c r="D373" s="14"/>
      <c r="F373" s="14"/>
    </row>
    <row r="374">
      <c r="D374" s="14"/>
      <c r="F374" s="14"/>
    </row>
    <row r="375">
      <c r="D375" s="14"/>
      <c r="F375" s="14"/>
    </row>
    <row r="376">
      <c r="D376" s="14"/>
      <c r="F376" s="14"/>
    </row>
    <row r="377">
      <c r="D377" s="14"/>
      <c r="F377" s="14"/>
    </row>
    <row r="378">
      <c r="D378" s="14"/>
      <c r="F378" s="14"/>
    </row>
    <row r="379">
      <c r="D379" s="14"/>
      <c r="F379" s="14"/>
    </row>
    <row r="380">
      <c r="D380" s="14"/>
      <c r="F380" s="14"/>
    </row>
    <row r="381">
      <c r="D381" s="14"/>
      <c r="F381" s="14"/>
    </row>
    <row r="382">
      <c r="D382" s="14"/>
      <c r="F382" s="14"/>
    </row>
    <row r="383">
      <c r="D383" s="14"/>
      <c r="F383" s="14"/>
    </row>
    <row r="384">
      <c r="D384" s="14"/>
      <c r="F384" s="14"/>
    </row>
    <row r="385">
      <c r="D385" s="14"/>
      <c r="F385" s="14"/>
    </row>
    <row r="386">
      <c r="D386" s="14"/>
      <c r="F386" s="14"/>
    </row>
    <row r="387">
      <c r="D387" s="14"/>
      <c r="F387" s="14"/>
    </row>
    <row r="388">
      <c r="D388" s="14"/>
      <c r="F388" s="14"/>
    </row>
    <row r="389">
      <c r="D389" s="14"/>
      <c r="F389" s="14"/>
    </row>
    <row r="390">
      <c r="D390" s="14"/>
      <c r="F390" s="14"/>
    </row>
    <row r="391">
      <c r="D391" s="14"/>
      <c r="F391" s="14"/>
    </row>
    <row r="392">
      <c r="D392" s="14"/>
      <c r="F392" s="14"/>
    </row>
    <row r="393">
      <c r="D393" s="14"/>
      <c r="F393" s="14"/>
    </row>
    <row r="394">
      <c r="D394" s="14"/>
      <c r="F394" s="14"/>
    </row>
    <row r="395">
      <c r="D395" s="14"/>
      <c r="F395" s="14"/>
    </row>
    <row r="396">
      <c r="D396" s="14"/>
      <c r="F396" s="14"/>
    </row>
    <row r="397">
      <c r="D397" s="14"/>
      <c r="F397" s="14"/>
    </row>
    <row r="398">
      <c r="D398" s="14"/>
      <c r="F398" s="14"/>
    </row>
    <row r="399">
      <c r="D399" s="14"/>
      <c r="F399" s="14"/>
    </row>
    <row r="400">
      <c r="D400" s="14"/>
      <c r="F400" s="14"/>
    </row>
    <row r="401">
      <c r="D401" s="14"/>
      <c r="F401" s="14"/>
    </row>
    <row r="402">
      <c r="D402" s="14"/>
      <c r="F402" s="14"/>
    </row>
    <row r="403">
      <c r="D403" s="14"/>
      <c r="F403" s="14"/>
    </row>
    <row r="404">
      <c r="D404" s="14"/>
      <c r="F404" s="14"/>
    </row>
    <row r="405">
      <c r="D405" s="14"/>
      <c r="F405" s="14"/>
    </row>
    <row r="406">
      <c r="D406" s="14"/>
      <c r="F406" s="14"/>
    </row>
    <row r="407">
      <c r="D407" s="14"/>
      <c r="F407" s="14"/>
    </row>
    <row r="408">
      <c r="D408" s="14"/>
      <c r="F408" s="14"/>
    </row>
    <row r="409">
      <c r="D409" s="14"/>
      <c r="F409" s="14"/>
    </row>
    <row r="410">
      <c r="D410" s="14"/>
      <c r="F410" s="14"/>
    </row>
    <row r="411">
      <c r="D411" s="14"/>
      <c r="F411" s="14"/>
    </row>
    <row r="412">
      <c r="D412" s="14"/>
      <c r="F412" s="14"/>
    </row>
    <row r="413">
      <c r="D413" s="14"/>
      <c r="F413" s="14"/>
    </row>
    <row r="414">
      <c r="D414" s="14"/>
      <c r="F414" s="14"/>
    </row>
    <row r="415">
      <c r="D415" s="14"/>
      <c r="F415" s="14"/>
    </row>
    <row r="416">
      <c r="D416" s="14"/>
      <c r="F416" s="14"/>
    </row>
    <row r="417">
      <c r="D417" s="14"/>
      <c r="F417" s="14"/>
    </row>
    <row r="418">
      <c r="D418" s="14"/>
      <c r="F418" s="14"/>
    </row>
    <row r="419">
      <c r="D419" s="14"/>
      <c r="F419" s="14"/>
    </row>
    <row r="420">
      <c r="D420" s="14"/>
      <c r="F420" s="14"/>
    </row>
    <row r="421">
      <c r="D421" s="14"/>
      <c r="F421" s="14"/>
    </row>
    <row r="422">
      <c r="D422" s="14"/>
      <c r="F422" s="14"/>
    </row>
    <row r="423">
      <c r="D423" s="14"/>
      <c r="F423" s="14"/>
    </row>
    <row r="424">
      <c r="D424" s="14"/>
      <c r="F424" s="14"/>
    </row>
    <row r="425">
      <c r="D425" s="14"/>
      <c r="F425" s="14"/>
    </row>
    <row r="426">
      <c r="D426" s="14"/>
      <c r="F426" s="14"/>
    </row>
    <row r="427">
      <c r="D427" s="14"/>
      <c r="F427" s="14"/>
    </row>
    <row r="428">
      <c r="D428" s="14"/>
      <c r="F428" s="14"/>
    </row>
    <row r="429">
      <c r="D429" s="14"/>
      <c r="F429" s="14"/>
    </row>
    <row r="430">
      <c r="D430" s="14"/>
      <c r="F430" s="14"/>
    </row>
    <row r="431">
      <c r="D431" s="14"/>
      <c r="F431" s="14"/>
    </row>
    <row r="432">
      <c r="D432" s="14"/>
      <c r="F432" s="14"/>
    </row>
    <row r="433">
      <c r="D433" s="14"/>
      <c r="F433" s="14"/>
    </row>
    <row r="434">
      <c r="D434" s="14"/>
      <c r="F434" s="14"/>
    </row>
    <row r="435">
      <c r="D435" s="14"/>
      <c r="F435" s="14"/>
    </row>
    <row r="436">
      <c r="D436" s="14"/>
      <c r="F436" s="14"/>
    </row>
    <row r="437">
      <c r="D437" s="14"/>
      <c r="F437" s="14"/>
    </row>
    <row r="438">
      <c r="D438" s="14"/>
      <c r="F438" s="14"/>
    </row>
    <row r="439">
      <c r="D439" s="14"/>
      <c r="F439" s="14"/>
    </row>
    <row r="440">
      <c r="D440" s="14"/>
      <c r="F440" s="14"/>
    </row>
    <row r="441">
      <c r="D441" s="14"/>
      <c r="F441" s="14"/>
    </row>
    <row r="442">
      <c r="D442" s="14"/>
      <c r="F442" s="14"/>
    </row>
    <row r="443">
      <c r="D443" s="14"/>
      <c r="F443" s="14"/>
    </row>
    <row r="444">
      <c r="D444" s="14"/>
      <c r="F444" s="14"/>
    </row>
    <row r="445">
      <c r="D445" s="14"/>
      <c r="F445" s="14"/>
    </row>
    <row r="446">
      <c r="D446" s="14"/>
      <c r="F446" s="14"/>
    </row>
    <row r="447">
      <c r="D447" s="14"/>
      <c r="F447" s="14"/>
    </row>
    <row r="448">
      <c r="D448" s="14"/>
      <c r="F448" s="14"/>
    </row>
    <row r="449">
      <c r="D449" s="14"/>
      <c r="F449" s="14"/>
    </row>
    <row r="450">
      <c r="D450" s="14"/>
      <c r="F450" s="14"/>
    </row>
    <row r="451">
      <c r="D451" s="14"/>
      <c r="F451" s="14"/>
    </row>
    <row r="452">
      <c r="D452" s="14"/>
      <c r="F452" s="14"/>
    </row>
    <row r="453">
      <c r="D453" s="14"/>
      <c r="F453" s="14"/>
    </row>
    <row r="454">
      <c r="D454" s="14"/>
      <c r="F454" s="14"/>
    </row>
    <row r="455">
      <c r="D455" s="14"/>
      <c r="F455" s="14"/>
    </row>
    <row r="456">
      <c r="D456" s="14"/>
      <c r="F456" s="14"/>
    </row>
    <row r="457">
      <c r="D457" s="14"/>
      <c r="F457" s="14"/>
    </row>
    <row r="458">
      <c r="D458" s="14"/>
      <c r="F458" s="14"/>
    </row>
    <row r="459">
      <c r="D459" s="14"/>
      <c r="F459" s="14"/>
    </row>
    <row r="460">
      <c r="D460" s="14"/>
      <c r="F460" s="14"/>
    </row>
    <row r="461">
      <c r="D461" s="14"/>
      <c r="F461" s="14"/>
    </row>
    <row r="462">
      <c r="D462" s="14"/>
      <c r="F462" s="14"/>
    </row>
    <row r="463">
      <c r="D463" s="14"/>
      <c r="F463" s="14"/>
    </row>
    <row r="464">
      <c r="D464" s="14"/>
      <c r="F464" s="14"/>
    </row>
    <row r="465">
      <c r="D465" s="14"/>
      <c r="F465" s="14"/>
    </row>
    <row r="466">
      <c r="D466" s="14"/>
      <c r="F466" s="14"/>
    </row>
    <row r="467">
      <c r="D467" s="14"/>
      <c r="F467" s="14"/>
    </row>
    <row r="468">
      <c r="D468" s="14"/>
      <c r="F468" s="14"/>
    </row>
    <row r="469">
      <c r="D469" s="14"/>
      <c r="F469" s="14"/>
    </row>
    <row r="470">
      <c r="D470" s="14"/>
      <c r="F470" s="14"/>
    </row>
    <row r="471">
      <c r="D471" s="14"/>
      <c r="F471" s="14"/>
    </row>
    <row r="472">
      <c r="D472" s="14"/>
      <c r="F472" s="14"/>
    </row>
    <row r="473">
      <c r="D473" s="14"/>
      <c r="F473" s="14"/>
    </row>
    <row r="474">
      <c r="D474" s="14"/>
      <c r="F474" s="14"/>
    </row>
    <row r="475">
      <c r="D475" s="14"/>
      <c r="F475" s="14"/>
    </row>
    <row r="476">
      <c r="D476" s="14"/>
      <c r="F476" s="14"/>
    </row>
    <row r="477">
      <c r="D477" s="14"/>
      <c r="F477" s="14"/>
    </row>
    <row r="478">
      <c r="D478" s="14"/>
      <c r="F478" s="14"/>
    </row>
    <row r="479">
      <c r="D479" s="14"/>
      <c r="F479" s="14"/>
    </row>
    <row r="480">
      <c r="D480" s="14"/>
      <c r="F480" s="14"/>
    </row>
    <row r="481">
      <c r="D481" s="14"/>
      <c r="F481" s="14"/>
    </row>
    <row r="482">
      <c r="D482" s="14"/>
      <c r="F482" s="14"/>
    </row>
    <row r="483">
      <c r="D483" s="14"/>
      <c r="F483" s="14"/>
    </row>
    <row r="484">
      <c r="D484" s="14"/>
      <c r="F484" s="14"/>
    </row>
    <row r="485">
      <c r="D485" s="14"/>
      <c r="F485" s="14"/>
    </row>
    <row r="486">
      <c r="D486" s="14"/>
      <c r="F486" s="14"/>
    </row>
    <row r="487">
      <c r="D487" s="14"/>
      <c r="F487" s="14"/>
    </row>
    <row r="488">
      <c r="D488" s="14"/>
      <c r="F488" s="14"/>
    </row>
    <row r="489">
      <c r="D489" s="14"/>
      <c r="F489" s="14"/>
    </row>
    <row r="490">
      <c r="D490" s="14"/>
      <c r="F490" s="14"/>
    </row>
    <row r="491">
      <c r="D491" s="14"/>
      <c r="F491" s="14"/>
    </row>
    <row r="492">
      <c r="D492" s="14"/>
      <c r="F492" s="14"/>
    </row>
    <row r="493">
      <c r="D493" s="14"/>
      <c r="F493" s="14"/>
    </row>
    <row r="494">
      <c r="D494" s="14"/>
      <c r="F494" s="14"/>
    </row>
    <row r="495">
      <c r="D495" s="14"/>
      <c r="F495" s="14"/>
    </row>
    <row r="496">
      <c r="D496" s="14"/>
      <c r="F496" s="14"/>
    </row>
    <row r="497">
      <c r="D497" s="14"/>
      <c r="F497" s="14"/>
    </row>
    <row r="498">
      <c r="D498" s="14"/>
      <c r="F498" s="14"/>
    </row>
    <row r="499">
      <c r="D499" s="14"/>
      <c r="F499" s="14"/>
    </row>
    <row r="500">
      <c r="D500" s="14"/>
      <c r="F500" s="14"/>
    </row>
    <row r="501">
      <c r="D501" s="14"/>
      <c r="F501" s="14"/>
    </row>
    <row r="502">
      <c r="D502" s="14"/>
      <c r="F502" s="14"/>
    </row>
    <row r="503">
      <c r="D503" s="14"/>
      <c r="F503" s="14"/>
    </row>
    <row r="504">
      <c r="D504" s="14"/>
      <c r="F504" s="14"/>
    </row>
    <row r="505">
      <c r="D505" s="14"/>
      <c r="F505" s="14"/>
    </row>
    <row r="506">
      <c r="D506" s="14"/>
      <c r="F506" s="14"/>
    </row>
    <row r="507">
      <c r="D507" s="14"/>
      <c r="F507" s="14"/>
    </row>
    <row r="508">
      <c r="D508" s="14"/>
      <c r="F508" s="14"/>
    </row>
    <row r="509">
      <c r="D509" s="14"/>
      <c r="F509" s="14"/>
    </row>
    <row r="510">
      <c r="D510" s="14"/>
      <c r="F510" s="14"/>
    </row>
    <row r="511">
      <c r="D511" s="14"/>
      <c r="F511" s="14"/>
    </row>
    <row r="512">
      <c r="D512" s="14"/>
      <c r="F512" s="14"/>
    </row>
    <row r="513">
      <c r="D513" s="14"/>
      <c r="F513" s="14"/>
    </row>
    <row r="514">
      <c r="D514" s="14"/>
      <c r="F514" s="14"/>
    </row>
    <row r="515">
      <c r="D515" s="14"/>
      <c r="F515" s="14"/>
    </row>
    <row r="516">
      <c r="D516" s="14"/>
      <c r="F516" s="14"/>
    </row>
    <row r="517">
      <c r="D517" s="14"/>
      <c r="F517" s="14"/>
    </row>
    <row r="518">
      <c r="D518" s="14"/>
      <c r="F518" s="14"/>
    </row>
    <row r="519">
      <c r="D519" s="14"/>
      <c r="F519" s="14"/>
    </row>
    <row r="520">
      <c r="D520" s="14"/>
      <c r="F520" s="14"/>
    </row>
    <row r="521">
      <c r="D521" s="14"/>
      <c r="F521" s="14"/>
    </row>
    <row r="522">
      <c r="D522" s="14"/>
      <c r="F522" s="14"/>
    </row>
    <row r="523">
      <c r="D523" s="14"/>
      <c r="F523" s="14"/>
    </row>
    <row r="524">
      <c r="D524" s="14"/>
      <c r="F524" s="14"/>
    </row>
    <row r="525">
      <c r="D525" s="14"/>
      <c r="F525" s="14"/>
    </row>
    <row r="526">
      <c r="D526" s="14"/>
      <c r="F526" s="14"/>
    </row>
    <row r="527">
      <c r="D527" s="14"/>
      <c r="F527" s="14"/>
    </row>
    <row r="528">
      <c r="D528" s="14"/>
      <c r="F528" s="14"/>
    </row>
    <row r="529">
      <c r="D529" s="14"/>
      <c r="F529" s="14"/>
    </row>
    <row r="530">
      <c r="D530" s="14"/>
      <c r="F530" s="14"/>
    </row>
    <row r="531">
      <c r="D531" s="14"/>
      <c r="F531" s="14"/>
    </row>
    <row r="532">
      <c r="D532" s="14"/>
      <c r="F532" s="14"/>
    </row>
    <row r="533">
      <c r="D533" s="14"/>
      <c r="F533" s="14"/>
    </row>
    <row r="534">
      <c r="D534" s="14"/>
      <c r="F534" s="14"/>
    </row>
    <row r="535">
      <c r="D535" s="14"/>
      <c r="F535" s="14"/>
    </row>
    <row r="536">
      <c r="D536" s="14"/>
      <c r="F536" s="14"/>
    </row>
    <row r="537">
      <c r="D537" s="14"/>
      <c r="F537" s="14"/>
    </row>
    <row r="538">
      <c r="D538" s="14"/>
      <c r="F538" s="14"/>
    </row>
    <row r="539">
      <c r="D539" s="14"/>
      <c r="F539" s="14"/>
    </row>
    <row r="540">
      <c r="D540" s="14"/>
      <c r="F540" s="14"/>
    </row>
    <row r="541">
      <c r="D541" s="14"/>
      <c r="F541" s="14"/>
    </row>
    <row r="542">
      <c r="D542" s="14"/>
      <c r="F542" s="14"/>
    </row>
    <row r="543">
      <c r="D543" s="14"/>
      <c r="F543" s="14"/>
    </row>
    <row r="544">
      <c r="D544" s="14"/>
      <c r="F544" s="14"/>
    </row>
    <row r="545">
      <c r="D545" s="14"/>
      <c r="F545" s="14"/>
    </row>
    <row r="546">
      <c r="D546" s="14"/>
      <c r="F546" s="14"/>
    </row>
    <row r="547">
      <c r="D547" s="14"/>
      <c r="F547" s="14"/>
    </row>
    <row r="548">
      <c r="D548" s="14"/>
      <c r="F548" s="14"/>
    </row>
    <row r="549">
      <c r="D549" s="14"/>
      <c r="F549" s="14"/>
    </row>
    <row r="550">
      <c r="D550" s="14"/>
      <c r="F550" s="14"/>
    </row>
    <row r="551">
      <c r="D551" s="14"/>
      <c r="F551" s="14"/>
    </row>
    <row r="552">
      <c r="D552" s="14"/>
      <c r="F552" s="14"/>
    </row>
    <row r="553">
      <c r="D553" s="14"/>
      <c r="F553" s="14"/>
    </row>
    <row r="554">
      <c r="D554" s="14"/>
      <c r="F554" s="14"/>
    </row>
    <row r="555">
      <c r="D555" s="14"/>
      <c r="F555" s="14"/>
    </row>
    <row r="556">
      <c r="D556" s="14"/>
      <c r="F556" s="14"/>
    </row>
    <row r="557">
      <c r="D557" s="14"/>
      <c r="F557" s="14"/>
    </row>
    <row r="558">
      <c r="D558" s="14"/>
      <c r="F558" s="14"/>
    </row>
    <row r="559">
      <c r="D559" s="14"/>
      <c r="F559" s="14"/>
    </row>
    <row r="560">
      <c r="D560" s="14"/>
      <c r="F560" s="14"/>
    </row>
    <row r="561">
      <c r="D561" s="14"/>
      <c r="F561" s="14"/>
    </row>
    <row r="562">
      <c r="D562" s="14"/>
      <c r="F562" s="14"/>
    </row>
    <row r="563">
      <c r="D563" s="14"/>
      <c r="F563" s="14"/>
    </row>
    <row r="564">
      <c r="D564" s="14"/>
      <c r="F564" s="14"/>
    </row>
    <row r="565">
      <c r="D565" s="14"/>
      <c r="F565" s="14"/>
    </row>
    <row r="566">
      <c r="D566" s="14"/>
      <c r="F566" s="14"/>
    </row>
    <row r="567">
      <c r="D567" s="14"/>
      <c r="F567" s="14"/>
    </row>
    <row r="568">
      <c r="D568" s="14"/>
      <c r="F568" s="14"/>
    </row>
    <row r="569">
      <c r="D569" s="14"/>
      <c r="F569" s="14"/>
    </row>
    <row r="570">
      <c r="D570" s="14"/>
      <c r="F570" s="14"/>
    </row>
    <row r="571">
      <c r="D571" s="14"/>
      <c r="F571" s="14"/>
    </row>
    <row r="572">
      <c r="D572" s="14"/>
      <c r="F572" s="14"/>
    </row>
    <row r="573">
      <c r="D573" s="14"/>
      <c r="F573" s="14"/>
    </row>
    <row r="574">
      <c r="D574" s="14"/>
      <c r="F574" s="14"/>
    </row>
    <row r="575">
      <c r="D575" s="14"/>
      <c r="F575" s="14"/>
    </row>
    <row r="576">
      <c r="D576" s="14"/>
      <c r="F576" s="14"/>
    </row>
    <row r="577">
      <c r="D577" s="14"/>
      <c r="F577" s="14"/>
    </row>
    <row r="578">
      <c r="D578" s="14"/>
      <c r="F578" s="14"/>
    </row>
    <row r="579">
      <c r="D579" s="14"/>
      <c r="F579" s="14"/>
    </row>
    <row r="580">
      <c r="D580" s="14"/>
      <c r="F580" s="14"/>
    </row>
    <row r="581">
      <c r="D581" s="14"/>
      <c r="F581" s="14"/>
    </row>
    <row r="582">
      <c r="D582" s="14"/>
      <c r="F582" s="14"/>
    </row>
    <row r="583">
      <c r="D583" s="14"/>
      <c r="F583" s="14"/>
    </row>
    <row r="584">
      <c r="D584" s="14"/>
      <c r="F584" s="14"/>
    </row>
    <row r="585">
      <c r="D585" s="14"/>
      <c r="F585" s="14"/>
    </row>
    <row r="586">
      <c r="D586" s="14"/>
      <c r="F586" s="14"/>
    </row>
    <row r="587">
      <c r="D587" s="14"/>
      <c r="F587" s="14"/>
    </row>
    <row r="588">
      <c r="D588" s="14"/>
      <c r="F588" s="14"/>
    </row>
    <row r="589">
      <c r="D589" s="14"/>
      <c r="F589" s="14"/>
    </row>
    <row r="590">
      <c r="D590" s="14"/>
      <c r="F590" s="14"/>
    </row>
    <row r="591">
      <c r="D591" s="14"/>
      <c r="F591" s="14"/>
    </row>
    <row r="592">
      <c r="D592" s="14"/>
      <c r="F592" s="14"/>
    </row>
    <row r="593">
      <c r="D593" s="14"/>
      <c r="F593" s="14"/>
    </row>
    <row r="594">
      <c r="D594" s="14"/>
      <c r="F594" s="14"/>
    </row>
    <row r="595">
      <c r="D595" s="14"/>
      <c r="F595" s="14"/>
    </row>
    <row r="596">
      <c r="D596" s="14"/>
      <c r="F596" s="14"/>
    </row>
    <row r="597">
      <c r="D597" s="14"/>
      <c r="F597" s="14"/>
    </row>
    <row r="598">
      <c r="D598" s="14"/>
      <c r="F598" s="14"/>
    </row>
    <row r="599">
      <c r="D599" s="14"/>
      <c r="F599" s="14"/>
    </row>
    <row r="600">
      <c r="D600" s="14"/>
      <c r="F600" s="14"/>
    </row>
    <row r="601">
      <c r="D601" s="14"/>
      <c r="F601" s="14"/>
    </row>
    <row r="602">
      <c r="D602" s="14"/>
      <c r="F602" s="14"/>
    </row>
    <row r="603">
      <c r="D603" s="14"/>
      <c r="F603" s="14"/>
    </row>
    <row r="604">
      <c r="D604" s="14"/>
      <c r="F604" s="14"/>
    </row>
    <row r="605">
      <c r="D605" s="14"/>
      <c r="F605" s="14"/>
    </row>
    <row r="606">
      <c r="D606" s="14"/>
      <c r="F606" s="14"/>
    </row>
    <row r="607">
      <c r="D607" s="14"/>
      <c r="F607" s="14"/>
    </row>
    <row r="608">
      <c r="D608" s="14"/>
      <c r="F608" s="14"/>
    </row>
    <row r="609">
      <c r="D609" s="14"/>
      <c r="F609" s="14"/>
    </row>
    <row r="610">
      <c r="D610" s="14"/>
      <c r="F610" s="14"/>
    </row>
    <row r="611">
      <c r="D611" s="14"/>
      <c r="F611" s="14"/>
    </row>
    <row r="612">
      <c r="D612" s="14"/>
      <c r="F612" s="14"/>
    </row>
    <row r="613">
      <c r="D613" s="14"/>
      <c r="F613" s="14"/>
    </row>
    <row r="614">
      <c r="D614" s="14"/>
      <c r="F614" s="14"/>
    </row>
    <row r="615">
      <c r="D615" s="14"/>
      <c r="F615" s="14"/>
    </row>
    <row r="616">
      <c r="D616" s="14"/>
      <c r="F616" s="14"/>
    </row>
    <row r="617">
      <c r="D617" s="14"/>
      <c r="F617" s="14"/>
    </row>
    <row r="618">
      <c r="D618" s="14"/>
      <c r="F618" s="14"/>
    </row>
    <row r="619">
      <c r="D619" s="14"/>
      <c r="F619" s="14"/>
    </row>
    <row r="620">
      <c r="D620" s="14"/>
      <c r="F620" s="14"/>
    </row>
    <row r="621">
      <c r="D621" s="14"/>
      <c r="F621" s="14"/>
    </row>
    <row r="622">
      <c r="D622" s="14"/>
      <c r="F622" s="14"/>
    </row>
    <row r="623">
      <c r="D623" s="14"/>
      <c r="F623" s="14"/>
    </row>
    <row r="624">
      <c r="D624" s="14"/>
      <c r="F624" s="14"/>
    </row>
    <row r="625">
      <c r="D625" s="14"/>
      <c r="F625" s="14"/>
    </row>
    <row r="626">
      <c r="D626" s="14"/>
      <c r="F626" s="14"/>
    </row>
    <row r="627">
      <c r="D627" s="14"/>
      <c r="F627" s="14"/>
    </row>
    <row r="628">
      <c r="D628" s="14"/>
      <c r="F628" s="14"/>
    </row>
    <row r="629">
      <c r="D629" s="14"/>
      <c r="F629" s="14"/>
    </row>
    <row r="630">
      <c r="D630" s="14"/>
      <c r="F630" s="14"/>
    </row>
    <row r="631">
      <c r="D631" s="14"/>
      <c r="F631" s="14"/>
    </row>
    <row r="632">
      <c r="D632" s="14"/>
      <c r="F632" s="14"/>
    </row>
    <row r="633">
      <c r="D633" s="14"/>
      <c r="F633" s="14"/>
    </row>
    <row r="634">
      <c r="D634" s="14"/>
      <c r="F634" s="14"/>
    </row>
    <row r="635">
      <c r="D635" s="14"/>
      <c r="F635" s="14"/>
    </row>
    <row r="636">
      <c r="D636" s="14"/>
      <c r="F636" s="14"/>
    </row>
    <row r="637">
      <c r="D637" s="14"/>
      <c r="F637" s="14"/>
    </row>
    <row r="638">
      <c r="D638" s="14"/>
      <c r="F638" s="14"/>
    </row>
    <row r="639">
      <c r="D639" s="14"/>
      <c r="F639" s="14"/>
    </row>
    <row r="640">
      <c r="D640" s="14"/>
      <c r="F640" s="14"/>
    </row>
    <row r="641">
      <c r="D641" s="14"/>
      <c r="F641" s="14"/>
    </row>
    <row r="642">
      <c r="D642" s="14"/>
      <c r="F642" s="14"/>
    </row>
    <row r="643">
      <c r="D643" s="14"/>
      <c r="F643" s="14"/>
    </row>
    <row r="644">
      <c r="D644" s="14"/>
      <c r="F644" s="14"/>
    </row>
    <row r="645">
      <c r="D645" s="14"/>
      <c r="F645" s="14"/>
    </row>
    <row r="646">
      <c r="D646" s="14"/>
      <c r="F646" s="14"/>
    </row>
    <row r="647">
      <c r="D647" s="14"/>
      <c r="F647" s="14"/>
    </row>
    <row r="648">
      <c r="D648" s="14"/>
      <c r="F648" s="14"/>
    </row>
    <row r="649">
      <c r="D649" s="14"/>
      <c r="F649" s="14"/>
    </row>
    <row r="650">
      <c r="D650" s="14"/>
      <c r="F650" s="14"/>
    </row>
    <row r="651">
      <c r="D651" s="14"/>
      <c r="F651" s="14"/>
    </row>
    <row r="652">
      <c r="D652" s="14"/>
      <c r="F652" s="14"/>
    </row>
    <row r="653">
      <c r="D653" s="14"/>
      <c r="F653" s="14"/>
    </row>
    <row r="654">
      <c r="D654" s="14"/>
      <c r="F654" s="14"/>
    </row>
    <row r="655">
      <c r="D655" s="14"/>
      <c r="F655" s="14"/>
    </row>
    <row r="656">
      <c r="D656" s="14"/>
      <c r="F656" s="14"/>
    </row>
    <row r="657">
      <c r="D657" s="14"/>
      <c r="F657" s="14"/>
    </row>
    <row r="658">
      <c r="D658" s="14"/>
      <c r="F658" s="14"/>
    </row>
    <row r="659">
      <c r="D659" s="14"/>
      <c r="F659" s="14"/>
    </row>
    <row r="660">
      <c r="D660" s="14"/>
      <c r="F660" s="14"/>
    </row>
    <row r="661">
      <c r="D661" s="14"/>
      <c r="F661" s="14"/>
    </row>
    <row r="662">
      <c r="D662" s="14"/>
      <c r="F662" s="14"/>
    </row>
    <row r="663">
      <c r="D663" s="14"/>
      <c r="F663" s="14"/>
    </row>
    <row r="664">
      <c r="D664" s="14"/>
      <c r="F664" s="14"/>
    </row>
    <row r="665">
      <c r="D665" s="14"/>
      <c r="F665" s="14"/>
    </row>
    <row r="666">
      <c r="D666" s="14"/>
      <c r="F666" s="14"/>
    </row>
    <row r="667">
      <c r="D667" s="14"/>
      <c r="F667" s="14"/>
    </row>
    <row r="668">
      <c r="D668" s="14"/>
      <c r="F668" s="14"/>
    </row>
    <row r="669">
      <c r="D669" s="14"/>
      <c r="F669" s="14"/>
    </row>
    <row r="670">
      <c r="D670" s="14"/>
      <c r="F670" s="14"/>
    </row>
    <row r="671">
      <c r="D671" s="14"/>
      <c r="F671" s="14"/>
    </row>
    <row r="672">
      <c r="D672" s="14"/>
      <c r="F672" s="14"/>
    </row>
    <row r="673">
      <c r="D673" s="14"/>
      <c r="F673" s="14"/>
    </row>
    <row r="674">
      <c r="D674" s="14"/>
      <c r="F674" s="14"/>
    </row>
    <row r="675">
      <c r="D675" s="14"/>
      <c r="F675" s="14"/>
    </row>
    <row r="676">
      <c r="D676" s="14"/>
      <c r="F676" s="14"/>
    </row>
    <row r="677">
      <c r="D677" s="14"/>
      <c r="F677" s="14"/>
    </row>
    <row r="678">
      <c r="D678" s="14"/>
      <c r="F678" s="14"/>
    </row>
    <row r="679">
      <c r="D679" s="14"/>
      <c r="F679" s="14"/>
    </row>
    <row r="680">
      <c r="D680" s="14"/>
      <c r="F680" s="14"/>
    </row>
    <row r="681">
      <c r="D681" s="14"/>
      <c r="F681" s="14"/>
    </row>
    <row r="682">
      <c r="D682" s="14"/>
      <c r="F682" s="14"/>
    </row>
    <row r="683">
      <c r="D683" s="14"/>
      <c r="F683" s="14"/>
    </row>
    <row r="684">
      <c r="D684" s="14"/>
      <c r="F684" s="14"/>
    </row>
    <row r="685">
      <c r="D685" s="14"/>
      <c r="F685" s="14"/>
    </row>
    <row r="686">
      <c r="D686" s="14"/>
      <c r="F686" s="14"/>
    </row>
    <row r="687">
      <c r="D687" s="14"/>
      <c r="F687" s="14"/>
    </row>
    <row r="688">
      <c r="D688" s="14"/>
      <c r="F688" s="14"/>
    </row>
    <row r="689">
      <c r="D689" s="14"/>
      <c r="F689" s="14"/>
    </row>
    <row r="690">
      <c r="D690" s="14"/>
      <c r="F690" s="14"/>
    </row>
    <row r="691">
      <c r="D691" s="14"/>
      <c r="F691" s="14"/>
    </row>
    <row r="692">
      <c r="D692" s="14"/>
      <c r="F692" s="14"/>
    </row>
    <row r="693">
      <c r="D693" s="14"/>
      <c r="F693" s="14"/>
    </row>
    <row r="694">
      <c r="D694" s="14"/>
      <c r="F694" s="14"/>
    </row>
    <row r="695">
      <c r="D695" s="14"/>
      <c r="F695" s="14"/>
    </row>
    <row r="696">
      <c r="D696" s="14"/>
      <c r="F696" s="14"/>
    </row>
    <row r="697">
      <c r="D697" s="14"/>
      <c r="F697" s="14"/>
    </row>
    <row r="698">
      <c r="D698" s="14"/>
      <c r="F698" s="14"/>
    </row>
    <row r="699">
      <c r="D699" s="14"/>
      <c r="F699" s="14"/>
    </row>
    <row r="700">
      <c r="D700" s="14"/>
      <c r="F700" s="14"/>
    </row>
    <row r="701">
      <c r="D701" s="14"/>
      <c r="F701" s="14"/>
    </row>
    <row r="702">
      <c r="D702" s="14"/>
      <c r="F702" s="14"/>
    </row>
    <row r="703">
      <c r="D703" s="14"/>
      <c r="F703" s="14"/>
    </row>
    <row r="704">
      <c r="D704" s="14"/>
      <c r="F704" s="14"/>
    </row>
    <row r="705">
      <c r="D705" s="14"/>
      <c r="F705" s="14"/>
    </row>
    <row r="706">
      <c r="D706" s="14"/>
      <c r="F706" s="14"/>
    </row>
    <row r="707">
      <c r="D707" s="14"/>
      <c r="F707" s="14"/>
    </row>
    <row r="708">
      <c r="D708" s="14"/>
      <c r="F708" s="14"/>
    </row>
    <row r="709">
      <c r="D709" s="14"/>
      <c r="F709" s="14"/>
    </row>
    <row r="710">
      <c r="D710" s="14"/>
      <c r="F710" s="14"/>
    </row>
    <row r="711">
      <c r="D711" s="14"/>
      <c r="F711" s="14"/>
    </row>
    <row r="712">
      <c r="D712" s="14"/>
      <c r="F712" s="14"/>
    </row>
    <row r="713">
      <c r="D713" s="14"/>
      <c r="F713" s="14"/>
    </row>
    <row r="714">
      <c r="D714" s="14"/>
      <c r="F714" s="14"/>
    </row>
    <row r="715">
      <c r="D715" s="14"/>
      <c r="F715" s="14"/>
    </row>
    <row r="716">
      <c r="D716" s="14"/>
      <c r="F716" s="14"/>
    </row>
    <row r="717">
      <c r="D717" s="14"/>
      <c r="F717" s="14"/>
    </row>
    <row r="718">
      <c r="D718" s="14"/>
      <c r="F718" s="14"/>
    </row>
    <row r="719">
      <c r="D719" s="14"/>
      <c r="F719" s="14"/>
    </row>
    <row r="720">
      <c r="D720" s="14"/>
      <c r="F720" s="14"/>
    </row>
    <row r="721">
      <c r="D721" s="14"/>
      <c r="F721" s="14"/>
    </row>
    <row r="722">
      <c r="D722" s="14"/>
      <c r="F722" s="14"/>
    </row>
    <row r="723">
      <c r="D723" s="14"/>
      <c r="F723" s="14"/>
    </row>
    <row r="724">
      <c r="D724" s="14"/>
      <c r="F724" s="14"/>
    </row>
    <row r="725">
      <c r="D725" s="14"/>
      <c r="F725" s="14"/>
    </row>
    <row r="726">
      <c r="D726" s="14"/>
      <c r="F726" s="14"/>
    </row>
    <row r="727">
      <c r="D727" s="14"/>
      <c r="F727" s="14"/>
    </row>
    <row r="728">
      <c r="D728" s="14"/>
      <c r="F728" s="14"/>
    </row>
    <row r="729">
      <c r="D729" s="14"/>
      <c r="F729" s="14"/>
    </row>
    <row r="730">
      <c r="D730" s="14"/>
      <c r="F730" s="14"/>
    </row>
    <row r="731">
      <c r="D731" s="14"/>
      <c r="F731" s="14"/>
    </row>
    <row r="732">
      <c r="D732" s="14"/>
      <c r="F732" s="14"/>
    </row>
    <row r="733">
      <c r="D733" s="14"/>
      <c r="F733" s="14"/>
    </row>
    <row r="734">
      <c r="D734" s="14"/>
      <c r="F734" s="14"/>
    </row>
    <row r="735">
      <c r="D735" s="14"/>
      <c r="F735" s="14"/>
    </row>
    <row r="736">
      <c r="D736" s="14"/>
      <c r="F736" s="14"/>
    </row>
    <row r="737">
      <c r="D737" s="14"/>
      <c r="F737" s="14"/>
    </row>
    <row r="738">
      <c r="D738" s="14"/>
      <c r="F738" s="14"/>
    </row>
    <row r="739">
      <c r="D739" s="14"/>
      <c r="F739" s="14"/>
    </row>
    <row r="740">
      <c r="D740" s="14"/>
      <c r="F740" s="14"/>
    </row>
    <row r="741">
      <c r="D741" s="14"/>
      <c r="F741" s="14"/>
    </row>
    <row r="742">
      <c r="D742" s="14"/>
      <c r="F742" s="14"/>
    </row>
    <row r="743">
      <c r="D743" s="14"/>
      <c r="F743" s="14"/>
    </row>
    <row r="744">
      <c r="D744" s="14"/>
      <c r="F744" s="14"/>
    </row>
    <row r="745">
      <c r="D745" s="14"/>
      <c r="F745" s="14"/>
    </row>
    <row r="746">
      <c r="D746" s="14"/>
      <c r="F746" s="14"/>
    </row>
    <row r="747">
      <c r="D747" s="14"/>
      <c r="F747" s="14"/>
    </row>
    <row r="748">
      <c r="D748" s="14"/>
      <c r="F748" s="14"/>
    </row>
    <row r="749">
      <c r="D749" s="14"/>
      <c r="F749" s="14"/>
    </row>
    <row r="750">
      <c r="D750" s="14"/>
      <c r="F750" s="14"/>
    </row>
    <row r="751">
      <c r="D751" s="14"/>
      <c r="F751" s="14"/>
    </row>
    <row r="752">
      <c r="D752" s="14"/>
      <c r="F752" s="14"/>
    </row>
    <row r="753">
      <c r="D753" s="14"/>
      <c r="F753" s="14"/>
    </row>
    <row r="754">
      <c r="D754" s="14"/>
      <c r="F754" s="14"/>
    </row>
    <row r="755">
      <c r="D755" s="14"/>
      <c r="F755" s="14"/>
    </row>
    <row r="756">
      <c r="D756" s="14"/>
      <c r="F756" s="14"/>
    </row>
    <row r="757">
      <c r="D757" s="14"/>
      <c r="F757" s="14"/>
    </row>
    <row r="758">
      <c r="D758" s="14"/>
      <c r="F758" s="14"/>
    </row>
    <row r="759">
      <c r="D759" s="14"/>
      <c r="F759" s="14"/>
    </row>
    <row r="760">
      <c r="D760" s="14"/>
      <c r="F760" s="14"/>
    </row>
    <row r="761">
      <c r="D761" s="14"/>
      <c r="F761" s="14"/>
    </row>
    <row r="762">
      <c r="D762" s="14"/>
      <c r="F762" s="14"/>
    </row>
    <row r="763">
      <c r="D763" s="14"/>
      <c r="F763" s="14"/>
    </row>
    <row r="764">
      <c r="D764" s="14"/>
      <c r="F764" s="14"/>
    </row>
    <row r="765">
      <c r="D765" s="14"/>
      <c r="F765" s="14"/>
    </row>
    <row r="766">
      <c r="D766" s="14"/>
      <c r="F766" s="14"/>
    </row>
    <row r="767">
      <c r="D767" s="14"/>
      <c r="F767" s="14"/>
    </row>
    <row r="768">
      <c r="D768" s="14"/>
      <c r="F768" s="14"/>
    </row>
    <row r="769">
      <c r="D769" s="14"/>
      <c r="F769" s="14"/>
    </row>
    <row r="770">
      <c r="D770" s="14"/>
      <c r="F770" s="14"/>
    </row>
    <row r="771">
      <c r="D771" s="14"/>
      <c r="F771" s="14"/>
    </row>
    <row r="772">
      <c r="D772" s="14"/>
      <c r="F772" s="14"/>
    </row>
    <row r="773">
      <c r="D773" s="14"/>
      <c r="F773" s="14"/>
    </row>
    <row r="774">
      <c r="D774" s="14"/>
      <c r="F774" s="14"/>
    </row>
    <row r="775">
      <c r="D775" s="14"/>
      <c r="F775" s="14"/>
    </row>
    <row r="776">
      <c r="D776" s="14"/>
      <c r="F776" s="14"/>
    </row>
    <row r="777">
      <c r="D777" s="14"/>
      <c r="F777" s="14"/>
    </row>
    <row r="778">
      <c r="D778" s="14"/>
      <c r="F778" s="14"/>
    </row>
    <row r="779">
      <c r="D779" s="14"/>
      <c r="F779" s="14"/>
    </row>
    <row r="780">
      <c r="D780" s="14"/>
      <c r="F780" s="14"/>
    </row>
    <row r="781">
      <c r="D781" s="14"/>
      <c r="F781" s="14"/>
    </row>
    <row r="782">
      <c r="D782" s="14"/>
      <c r="F782" s="14"/>
    </row>
    <row r="783">
      <c r="D783" s="14"/>
      <c r="F783" s="14"/>
    </row>
    <row r="784">
      <c r="D784" s="14"/>
      <c r="F784" s="14"/>
    </row>
    <row r="785">
      <c r="D785" s="14"/>
      <c r="F785" s="14"/>
    </row>
    <row r="786">
      <c r="D786" s="14"/>
      <c r="F786" s="14"/>
    </row>
    <row r="787">
      <c r="D787" s="14"/>
      <c r="F787" s="14"/>
    </row>
    <row r="788">
      <c r="D788" s="14"/>
      <c r="F788" s="14"/>
    </row>
    <row r="789">
      <c r="D789" s="14"/>
      <c r="F789" s="14"/>
    </row>
    <row r="790">
      <c r="D790" s="14"/>
      <c r="F790" s="14"/>
    </row>
    <row r="791">
      <c r="D791" s="14"/>
      <c r="F791" s="14"/>
    </row>
    <row r="792">
      <c r="D792" s="14"/>
      <c r="F792" s="14"/>
    </row>
    <row r="793">
      <c r="D793" s="14"/>
      <c r="F793" s="14"/>
    </row>
    <row r="794">
      <c r="D794" s="14"/>
      <c r="F794" s="14"/>
    </row>
    <row r="795">
      <c r="D795" s="14"/>
      <c r="F795" s="14"/>
    </row>
    <row r="796">
      <c r="D796" s="14"/>
      <c r="F796" s="14"/>
    </row>
    <row r="797">
      <c r="D797" s="14"/>
      <c r="F797" s="14"/>
    </row>
    <row r="798">
      <c r="D798" s="14"/>
      <c r="F798" s="14"/>
    </row>
    <row r="799">
      <c r="D799" s="14"/>
      <c r="F799" s="14"/>
    </row>
    <row r="800">
      <c r="D800" s="14"/>
      <c r="F800" s="14"/>
    </row>
    <row r="801">
      <c r="D801" s="14"/>
      <c r="F801" s="14"/>
    </row>
    <row r="802">
      <c r="D802" s="14"/>
      <c r="F802" s="14"/>
    </row>
    <row r="803">
      <c r="D803" s="14"/>
      <c r="F803" s="14"/>
    </row>
    <row r="804">
      <c r="D804" s="14"/>
      <c r="F804" s="14"/>
    </row>
    <row r="805">
      <c r="D805" s="14"/>
      <c r="F805" s="14"/>
    </row>
    <row r="806">
      <c r="D806" s="14"/>
      <c r="F806" s="14"/>
    </row>
    <row r="807">
      <c r="D807" s="14"/>
      <c r="F807" s="14"/>
    </row>
    <row r="808">
      <c r="D808" s="14"/>
      <c r="F808" s="14"/>
    </row>
    <row r="809">
      <c r="D809" s="14"/>
      <c r="F809" s="14"/>
    </row>
    <row r="810">
      <c r="D810" s="14"/>
      <c r="F810" s="14"/>
    </row>
    <row r="811">
      <c r="D811" s="14"/>
      <c r="F811" s="14"/>
    </row>
    <row r="812">
      <c r="D812" s="14"/>
      <c r="F812" s="14"/>
    </row>
    <row r="813">
      <c r="D813" s="14"/>
      <c r="F813" s="14"/>
    </row>
    <row r="814">
      <c r="D814" s="14"/>
      <c r="F814" s="14"/>
    </row>
    <row r="815">
      <c r="D815" s="14"/>
      <c r="F815" s="14"/>
    </row>
    <row r="816">
      <c r="D816" s="14"/>
      <c r="F816" s="14"/>
    </row>
    <row r="817">
      <c r="D817" s="14"/>
      <c r="F817" s="14"/>
    </row>
    <row r="818">
      <c r="D818" s="14"/>
      <c r="F818" s="14"/>
    </row>
    <row r="819">
      <c r="D819" s="14"/>
      <c r="F819" s="14"/>
    </row>
    <row r="820">
      <c r="D820" s="14"/>
      <c r="F820" s="14"/>
    </row>
    <row r="821">
      <c r="D821" s="14"/>
      <c r="F821" s="14"/>
    </row>
    <row r="822">
      <c r="D822" s="14"/>
      <c r="F822" s="14"/>
    </row>
    <row r="823">
      <c r="D823" s="14"/>
      <c r="F823" s="14"/>
    </row>
    <row r="824">
      <c r="D824" s="14"/>
      <c r="F824" s="14"/>
    </row>
    <row r="825">
      <c r="D825" s="14"/>
      <c r="F825" s="14"/>
    </row>
    <row r="826">
      <c r="D826" s="14"/>
      <c r="F826" s="14"/>
    </row>
    <row r="827">
      <c r="D827" s="14"/>
      <c r="F827" s="14"/>
    </row>
    <row r="828">
      <c r="D828" s="14"/>
      <c r="F828" s="14"/>
    </row>
    <row r="829">
      <c r="D829" s="14"/>
      <c r="F829" s="14"/>
    </row>
    <row r="830">
      <c r="D830" s="14"/>
      <c r="F830" s="14"/>
    </row>
    <row r="831">
      <c r="D831" s="14"/>
      <c r="F831" s="14"/>
    </row>
    <row r="832">
      <c r="D832" s="14"/>
      <c r="F832" s="14"/>
    </row>
    <row r="833">
      <c r="D833" s="14"/>
      <c r="F833" s="14"/>
    </row>
    <row r="834">
      <c r="D834" s="14"/>
      <c r="F834" s="14"/>
    </row>
    <row r="835">
      <c r="D835" s="14"/>
      <c r="F835" s="14"/>
    </row>
    <row r="836">
      <c r="D836" s="14"/>
      <c r="F836" s="14"/>
    </row>
    <row r="837">
      <c r="D837" s="14"/>
      <c r="F837" s="14"/>
    </row>
    <row r="838">
      <c r="D838" s="14"/>
      <c r="F838" s="14"/>
    </row>
    <row r="839">
      <c r="D839" s="14"/>
      <c r="F839" s="14"/>
    </row>
    <row r="840">
      <c r="D840" s="14"/>
      <c r="F840" s="14"/>
    </row>
    <row r="841">
      <c r="D841" s="14"/>
      <c r="F841" s="14"/>
    </row>
    <row r="842">
      <c r="D842" s="14"/>
      <c r="F842" s="14"/>
    </row>
    <row r="843">
      <c r="D843" s="14"/>
      <c r="F843" s="14"/>
    </row>
    <row r="844">
      <c r="D844" s="14"/>
      <c r="F844" s="14"/>
    </row>
    <row r="845">
      <c r="D845" s="14"/>
      <c r="F845" s="14"/>
    </row>
    <row r="846">
      <c r="D846" s="14"/>
      <c r="F846" s="14"/>
    </row>
    <row r="847">
      <c r="D847" s="14"/>
      <c r="F847" s="14"/>
    </row>
    <row r="848">
      <c r="D848" s="14"/>
      <c r="F848" s="14"/>
    </row>
    <row r="849">
      <c r="D849" s="14"/>
      <c r="F849" s="14"/>
    </row>
    <row r="850">
      <c r="D850" s="14"/>
      <c r="F850" s="14"/>
    </row>
    <row r="851">
      <c r="D851" s="14"/>
      <c r="F851" s="14"/>
    </row>
    <row r="852">
      <c r="D852" s="14"/>
      <c r="F852" s="14"/>
    </row>
    <row r="853">
      <c r="D853" s="14"/>
      <c r="F853" s="14"/>
    </row>
    <row r="854">
      <c r="D854" s="14"/>
      <c r="F854" s="14"/>
    </row>
    <row r="855">
      <c r="D855" s="14"/>
      <c r="F855" s="14"/>
    </row>
    <row r="856">
      <c r="D856" s="14"/>
      <c r="F856" s="14"/>
    </row>
    <row r="857">
      <c r="D857" s="14"/>
      <c r="F857" s="14"/>
    </row>
    <row r="858">
      <c r="D858" s="14"/>
      <c r="F858" s="14"/>
    </row>
    <row r="859">
      <c r="D859" s="14"/>
      <c r="F859" s="14"/>
    </row>
    <row r="860">
      <c r="D860" s="14"/>
      <c r="F860" s="14"/>
    </row>
    <row r="861">
      <c r="D861" s="14"/>
      <c r="F861" s="14"/>
    </row>
    <row r="862">
      <c r="D862" s="14"/>
      <c r="F862" s="14"/>
    </row>
    <row r="863">
      <c r="D863" s="14"/>
      <c r="F863" s="14"/>
    </row>
    <row r="864">
      <c r="D864" s="14"/>
      <c r="F864" s="14"/>
    </row>
    <row r="865">
      <c r="D865" s="14"/>
      <c r="F865" s="14"/>
    </row>
    <row r="866">
      <c r="D866" s="14"/>
      <c r="F866" s="14"/>
    </row>
    <row r="867">
      <c r="D867" s="14"/>
      <c r="F867" s="14"/>
    </row>
    <row r="868">
      <c r="D868" s="14"/>
      <c r="F868" s="14"/>
    </row>
    <row r="869">
      <c r="D869" s="14"/>
      <c r="F869" s="14"/>
    </row>
    <row r="870">
      <c r="D870" s="14"/>
      <c r="F870" s="14"/>
    </row>
    <row r="871">
      <c r="D871" s="14"/>
      <c r="F871" s="14"/>
    </row>
    <row r="872">
      <c r="D872" s="14"/>
      <c r="F872" s="14"/>
    </row>
    <row r="873">
      <c r="D873" s="14"/>
      <c r="F873" s="14"/>
    </row>
    <row r="874">
      <c r="D874" s="14"/>
      <c r="F874" s="14"/>
    </row>
    <row r="875">
      <c r="D875" s="14"/>
      <c r="F875" s="14"/>
    </row>
    <row r="876">
      <c r="D876" s="14"/>
      <c r="F876" s="14"/>
    </row>
    <row r="877">
      <c r="D877" s="14"/>
      <c r="F877" s="14"/>
    </row>
    <row r="878">
      <c r="D878" s="14"/>
      <c r="F878" s="14"/>
    </row>
    <row r="879">
      <c r="D879" s="14"/>
      <c r="F879" s="14"/>
    </row>
    <row r="880">
      <c r="D880" s="14"/>
      <c r="F880" s="14"/>
    </row>
    <row r="881">
      <c r="D881" s="14"/>
      <c r="F881" s="14"/>
    </row>
    <row r="882">
      <c r="D882" s="14"/>
      <c r="F882" s="14"/>
    </row>
    <row r="883">
      <c r="D883" s="14"/>
      <c r="F883" s="14"/>
    </row>
    <row r="884">
      <c r="D884" s="14"/>
      <c r="F884" s="14"/>
    </row>
    <row r="885">
      <c r="D885" s="14"/>
      <c r="F885" s="14"/>
    </row>
    <row r="886">
      <c r="D886" s="14"/>
      <c r="F886" s="14"/>
    </row>
    <row r="887">
      <c r="D887" s="14"/>
      <c r="F887" s="14"/>
    </row>
    <row r="888">
      <c r="D888" s="14"/>
      <c r="F888" s="14"/>
    </row>
    <row r="889">
      <c r="D889" s="14"/>
      <c r="F889" s="14"/>
    </row>
    <row r="890">
      <c r="D890" s="14"/>
      <c r="F890" s="14"/>
    </row>
    <row r="891">
      <c r="D891" s="14"/>
      <c r="F891" s="14"/>
    </row>
    <row r="892">
      <c r="D892" s="14"/>
      <c r="F892" s="14"/>
    </row>
    <row r="893">
      <c r="D893" s="14"/>
      <c r="F893" s="14"/>
    </row>
    <row r="894">
      <c r="D894" s="14"/>
      <c r="F894" s="14"/>
    </row>
    <row r="895">
      <c r="D895" s="14"/>
      <c r="F895" s="14"/>
    </row>
    <row r="896">
      <c r="D896" s="14"/>
      <c r="F896" s="14"/>
    </row>
    <row r="897">
      <c r="D897" s="14"/>
      <c r="F897" s="14"/>
    </row>
    <row r="898">
      <c r="D898" s="14"/>
      <c r="F898" s="14"/>
    </row>
    <row r="899">
      <c r="D899" s="14"/>
      <c r="F899" s="14"/>
    </row>
    <row r="900">
      <c r="D900" s="14"/>
      <c r="F900" s="14"/>
    </row>
    <row r="901">
      <c r="D901" s="14"/>
      <c r="F901" s="14"/>
    </row>
    <row r="902">
      <c r="D902" s="14"/>
      <c r="F902" s="14"/>
    </row>
    <row r="903">
      <c r="D903" s="14"/>
      <c r="F903" s="14"/>
    </row>
    <row r="904">
      <c r="D904" s="14"/>
      <c r="F904" s="14"/>
    </row>
    <row r="905">
      <c r="D905" s="14"/>
      <c r="F905" s="14"/>
    </row>
    <row r="906">
      <c r="D906" s="14"/>
      <c r="F906" s="14"/>
    </row>
    <row r="907">
      <c r="D907" s="14"/>
      <c r="F907" s="14"/>
    </row>
    <row r="908">
      <c r="D908" s="14"/>
      <c r="F908" s="14"/>
    </row>
    <row r="909">
      <c r="D909" s="14"/>
      <c r="F909" s="14"/>
    </row>
    <row r="910">
      <c r="D910" s="14"/>
      <c r="F910" s="14"/>
    </row>
    <row r="911">
      <c r="D911" s="14"/>
      <c r="F911" s="14"/>
    </row>
    <row r="912">
      <c r="D912" s="14"/>
      <c r="F912" s="14"/>
    </row>
    <row r="913">
      <c r="D913" s="14"/>
      <c r="F913" s="14"/>
    </row>
    <row r="914">
      <c r="D914" s="14"/>
      <c r="F914" s="14"/>
    </row>
    <row r="915">
      <c r="D915" s="14"/>
      <c r="F915" s="14"/>
    </row>
    <row r="916">
      <c r="D916" s="14"/>
      <c r="F916" s="14"/>
    </row>
    <row r="917">
      <c r="D917" s="14"/>
      <c r="F917" s="14"/>
    </row>
    <row r="918">
      <c r="D918" s="14"/>
      <c r="F918" s="14"/>
    </row>
    <row r="919">
      <c r="D919" s="14"/>
      <c r="F919" s="14"/>
    </row>
    <row r="920">
      <c r="D920" s="14"/>
      <c r="F920" s="14"/>
    </row>
    <row r="921">
      <c r="D921" s="14"/>
      <c r="F921" s="14"/>
    </row>
    <row r="922">
      <c r="D922" s="14"/>
      <c r="F922" s="14"/>
    </row>
    <row r="923">
      <c r="D923" s="14"/>
      <c r="F923" s="14"/>
    </row>
    <row r="924">
      <c r="D924" s="14"/>
      <c r="F924" s="14"/>
    </row>
    <row r="925">
      <c r="D925" s="14"/>
      <c r="F925" s="14"/>
    </row>
    <row r="926">
      <c r="D926" s="14"/>
      <c r="F926" s="14"/>
    </row>
    <row r="927">
      <c r="D927" s="14"/>
      <c r="F927" s="14"/>
    </row>
    <row r="928">
      <c r="D928" s="14"/>
      <c r="F928" s="14"/>
    </row>
    <row r="929">
      <c r="D929" s="14"/>
      <c r="F929" s="14"/>
    </row>
    <row r="930">
      <c r="D930" s="14"/>
      <c r="F930" s="14"/>
    </row>
    <row r="931">
      <c r="D931" s="14"/>
      <c r="F931" s="14"/>
    </row>
    <row r="932">
      <c r="D932" s="14"/>
      <c r="F932" s="14"/>
    </row>
    <row r="933">
      <c r="D933" s="14"/>
      <c r="F933" s="14"/>
    </row>
    <row r="934">
      <c r="D934" s="14"/>
      <c r="F934" s="14"/>
    </row>
    <row r="935">
      <c r="D935" s="14"/>
      <c r="F935" s="14"/>
    </row>
    <row r="936">
      <c r="D936" s="14"/>
      <c r="F936" s="14"/>
    </row>
    <row r="937">
      <c r="D937" s="14"/>
      <c r="F937" s="14"/>
    </row>
    <row r="938">
      <c r="D938" s="14"/>
      <c r="F938" s="14"/>
    </row>
    <row r="939">
      <c r="D939" s="14"/>
      <c r="F939" s="14"/>
    </row>
    <row r="940">
      <c r="D940" s="14"/>
      <c r="F940" s="14"/>
    </row>
    <row r="941">
      <c r="D941" s="14"/>
      <c r="F941" s="14"/>
    </row>
    <row r="942">
      <c r="D942" s="14"/>
      <c r="F942" s="14"/>
    </row>
    <row r="943">
      <c r="D943" s="14"/>
      <c r="F943" s="14"/>
    </row>
    <row r="944">
      <c r="D944" s="14"/>
      <c r="F944" s="14"/>
    </row>
    <row r="945">
      <c r="D945" s="14"/>
      <c r="F945" s="14"/>
    </row>
    <row r="946">
      <c r="D946" s="14"/>
      <c r="F946" s="14"/>
    </row>
    <row r="947">
      <c r="D947" s="14"/>
      <c r="F947" s="14"/>
    </row>
    <row r="948">
      <c r="D948" s="14"/>
      <c r="F948" s="14"/>
    </row>
    <row r="949">
      <c r="D949" s="14"/>
      <c r="F949" s="14"/>
    </row>
    <row r="950">
      <c r="D950" s="14"/>
      <c r="F950" s="14"/>
    </row>
    <row r="951">
      <c r="D951" s="14"/>
      <c r="F951" s="14"/>
    </row>
    <row r="952">
      <c r="D952" s="14"/>
      <c r="F952" s="14"/>
    </row>
    <row r="953">
      <c r="D953" s="14"/>
      <c r="F953" s="14"/>
    </row>
    <row r="954">
      <c r="D954" s="14"/>
      <c r="F954" s="14"/>
    </row>
    <row r="955">
      <c r="D955" s="14"/>
      <c r="F955" s="14"/>
    </row>
    <row r="956">
      <c r="D956" s="14"/>
      <c r="F956" s="14"/>
    </row>
    <row r="957">
      <c r="D957" s="14"/>
      <c r="F957" s="14"/>
    </row>
    <row r="958">
      <c r="D958" s="14"/>
      <c r="F958" s="14"/>
    </row>
    <row r="959">
      <c r="D959" s="14"/>
      <c r="F959" s="14"/>
    </row>
    <row r="960">
      <c r="D960" s="14"/>
      <c r="F960" s="14"/>
    </row>
    <row r="961">
      <c r="D961" s="14"/>
      <c r="F961" s="14"/>
    </row>
    <row r="962">
      <c r="D962" s="14"/>
      <c r="F962" s="14"/>
    </row>
    <row r="963">
      <c r="D963" s="14"/>
      <c r="F963" s="14"/>
    </row>
    <row r="964">
      <c r="D964" s="14"/>
      <c r="F964" s="14"/>
    </row>
    <row r="965">
      <c r="D965" s="14"/>
      <c r="F965" s="14"/>
    </row>
    <row r="966">
      <c r="D966" s="14"/>
      <c r="F966" s="14"/>
    </row>
    <row r="967">
      <c r="D967" s="14"/>
      <c r="F967" s="14"/>
    </row>
    <row r="968">
      <c r="D968" s="14"/>
      <c r="F968" s="14"/>
    </row>
    <row r="969">
      <c r="D969" s="14"/>
      <c r="F969" s="14"/>
    </row>
    <row r="970">
      <c r="D970" s="14"/>
      <c r="F970" s="14"/>
    </row>
    <row r="971">
      <c r="D971" s="14"/>
      <c r="F971" s="14"/>
    </row>
    <row r="972">
      <c r="D972" s="14"/>
      <c r="F972" s="14"/>
    </row>
    <row r="973">
      <c r="D973" s="14"/>
      <c r="F973" s="14"/>
    </row>
    <row r="974">
      <c r="D974" s="14"/>
      <c r="F974" s="14"/>
    </row>
    <row r="975">
      <c r="D975" s="14"/>
      <c r="F975" s="14"/>
    </row>
    <row r="976">
      <c r="D976" s="14"/>
      <c r="F976" s="14"/>
    </row>
    <row r="977">
      <c r="D977" s="14"/>
      <c r="F977" s="14"/>
    </row>
    <row r="978">
      <c r="D978" s="14"/>
      <c r="F978" s="14"/>
    </row>
    <row r="979">
      <c r="D979" s="14"/>
      <c r="F979" s="14"/>
    </row>
    <row r="980">
      <c r="D980" s="14"/>
      <c r="F980" s="14"/>
    </row>
    <row r="981">
      <c r="D981" s="14"/>
      <c r="F981" s="14"/>
    </row>
    <row r="982">
      <c r="D982" s="14"/>
      <c r="F982" s="14"/>
    </row>
    <row r="983">
      <c r="D983" s="14"/>
      <c r="F983" s="14"/>
    </row>
    <row r="984">
      <c r="D984" s="14"/>
      <c r="F984" s="14"/>
    </row>
    <row r="985">
      <c r="D985" s="14"/>
      <c r="F985" s="14"/>
    </row>
    <row r="986">
      <c r="D986" s="14"/>
      <c r="F986" s="14"/>
    </row>
    <row r="987">
      <c r="D987" s="14"/>
      <c r="F987" s="14"/>
    </row>
    <row r="988">
      <c r="D988" s="14"/>
      <c r="F988" s="14"/>
    </row>
    <row r="989">
      <c r="D989" s="14"/>
      <c r="F989" s="14"/>
    </row>
    <row r="990">
      <c r="D990" s="14"/>
      <c r="F990" s="14"/>
    </row>
    <row r="991">
      <c r="D991" s="14"/>
      <c r="F991" s="14"/>
    </row>
    <row r="992">
      <c r="D992" s="14"/>
      <c r="F992" s="14"/>
    </row>
    <row r="993">
      <c r="D993" s="14"/>
      <c r="F993" s="14"/>
    </row>
    <row r="994">
      <c r="D994" s="14"/>
      <c r="F994" s="14"/>
    </row>
    <row r="995">
      <c r="D995" s="14"/>
      <c r="F995" s="14"/>
    </row>
    <row r="996">
      <c r="D996" s="14"/>
      <c r="F996" s="14"/>
    </row>
    <row r="997">
      <c r="D997" s="14"/>
      <c r="F997" s="14"/>
    </row>
    <row r="998">
      <c r="D998" s="14"/>
      <c r="F998" s="14"/>
    </row>
    <row r="999">
      <c r="D999" s="14"/>
      <c r="F999" s="14"/>
    </row>
    <row r="1000">
      <c r="D1000" s="14"/>
      <c r="F1000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5.38"/>
    <col customWidth="1" min="3" max="3" width="14.0"/>
    <col customWidth="1" min="4" max="4" width="18.0"/>
    <col customWidth="1" min="5" max="5" width="14.0"/>
    <col customWidth="1" min="6" max="6" width="15.63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50" t="s">
        <v>6</v>
      </c>
    </row>
    <row r="2">
      <c r="A2" s="1" t="s">
        <v>306</v>
      </c>
      <c r="B2" s="1" t="s">
        <v>279</v>
      </c>
      <c r="C2" s="1">
        <v>100000.0</v>
      </c>
    </row>
    <row r="3">
      <c r="C3" s="1">
        <v>50000.0</v>
      </c>
    </row>
    <row r="4">
      <c r="C4" s="1">
        <v>25000.0</v>
      </c>
    </row>
    <row r="5">
      <c r="C5" s="1">
        <v>25000.0</v>
      </c>
    </row>
    <row r="6">
      <c r="A6" s="1" t="s">
        <v>307</v>
      </c>
      <c r="B6" s="1" t="s">
        <v>308</v>
      </c>
      <c r="C6" s="1">
        <v>30000.0</v>
      </c>
    </row>
    <row r="7">
      <c r="E7" s="1" t="s">
        <v>309</v>
      </c>
      <c r="F7" s="1">
        <v>41400.0</v>
      </c>
    </row>
    <row r="8">
      <c r="E8" s="1" t="s">
        <v>310</v>
      </c>
      <c r="F8" s="1">
        <v>36000.0</v>
      </c>
    </row>
    <row r="9">
      <c r="E9" s="1" t="s">
        <v>311</v>
      </c>
      <c r="F9" s="1">
        <v>22800.0</v>
      </c>
    </row>
    <row r="13">
      <c r="C13" s="17">
        <f>sum(C2:C11)</f>
        <v>230000</v>
      </c>
      <c r="F13" s="17">
        <f>sum(F7:F10)</f>
        <v>100200</v>
      </c>
      <c r="H13" s="17">
        <f>C13-F13</f>
        <v>129800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4.75"/>
    <col customWidth="1" min="4" max="4" width="18.25"/>
    <col customWidth="1" min="5" max="5" width="14.25"/>
    <col customWidth="1" min="6" max="6" width="15.88"/>
    <col customWidth="1" min="8" max="8" width="12.5"/>
    <col customWidth="1" min="10" max="10" width="10.88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50" t="s">
        <v>6</v>
      </c>
      <c r="J1" s="1" t="s">
        <v>207</v>
      </c>
    </row>
    <row r="2">
      <c r="A2" s="1" t="s">
        <v>8</v>
      </c>
      <c r="B2" s="1" t="s">
        <v>312</v>
      </c>
      <c r="C2" s="1" t="s">
        <v>313</v>
      </c>
      <c r="D2" s="11">
        <v>25000.0</v>
      </c>
      <c r="F2" s="11"/>
      <c r="J2" s="1">
        <v>12.0</v>
      </c>
    </row>
    <row r="3">
      <c r="A3" s="1" t="s">
        <v>14</v>
      </c>
      <c r="D3" s="14"/>
      <c r="E3" s="1" t="s">
        <v>285</v>
      </c>
      <c r="F3" s="11">
        <v>3000.0</v>
      </c>
    </row>
    <row r="4">
      <c r="A4" s="1" t="s">
        <v>8</v>
      </c>
      <c r="B4" s="1" t="s">
        <v>316</v>
      </c>
      <c r="C4" s="1" t="s">
        <v>313</v>
      </c>
      <c r="D4" s="11">
        <v>100000.0</v>
      </c>
      <c r="F4" s="14"/>
      <c r="J4" s="1">
        <v>30.0</v>
      </c>
    </row>
    <row r="5">
      <c r="A5" s="1" t="s">
        <v>14</v>
      </c>
      <c r="D5" s="14"/>
      <c r="E5" s="1" t="s">
        <v>317</v>
      </c>
      <c r="F5" s="11">
        <v>20000.0</v>
      </c>
    </row>
    <row r="6">
      <c r="A6" s="1" t="s">
        <v>14</v>
      </c>
      <c r="D6" s="14"/>
      <c r="E6" s="1" t="s">
        <v>317</v>
      </c>
      <c r="F6" s="11">
        <v>3000.0</v>
      </c>
    </row>
    <row r="7">
      <c r="A7" s="1" t="s">
        <v>14</v>
      </c>
      <c r="D7" s="14"/>
      <c r="E7" s="1" t="s">
        <v>272</v>
      </c>
      <c r="F7" s="11">
        <v>3000.0</v>
      </c>
    </row>
    <row r="8">
      <c r="A8" s="1" t="s">
        <v>14</v>
      </c>
      <c r="D8" s="14"/>
      <c r="E8" s="1" t="s">
        <v>272</v>
      </c>
      <c r="F8" s="11">
        <v>30000.0</v>
      </c>
    </row>
    <row r="9">
      <c r="A9" s="1" t="s">
        <v>14</v>
      </c>
      <c r="D9" s="14"/>
      <c r="E9" s="1" t="s">
        <v>319</v>
      </c>
      <c r="F9" s="11">
        <v>30000.0</v>
      </c>
    </row>
    <row r="10">
      <c r="A10" s="1" t="s">
        <v>14</v>
      </c>
      <c r="D10" s="14"/>
      <c r="E10" s="1" t="s">
        <v>319</v>
      </c>
      <c r="F10" s="11">
        <v>3000.0</v>
      </c>
    </row>
    <row r="11">
      <c r="A11" s="1" t="s">
        <v>14</v>
      </c>
      <c r="D11" s="14"/>
      <c r="E11" s="1" t="s">
        <v>125</v>
      </c>
      <c r="F11" s="11">
        <v>33000.0</v>
      </c>
    </row>
    <row r="12">
      <c r="A12" s="1" t="s">
        <v>14</v>
      </c>
      <c r="D12" s="14"/>
      <c r="E12" s="1" t="s">
        <v>289</v>
      </c>
      <c r="F12" s="11">
        <v>33000.0</v>
      </c>
    </row>
    <row r="13">
      <c r="A13" s="1" t="s">
        <v>14</v>
      </c>
      <c r="D13" s="14"/>
      <c r="E13" s="1" t="s">
        <v>63</v>
      </c>
      <c r="F13" s="11">
        <v>33000.0</v>
      </c>
    </row>
    <row r="14">
      <c r="A14" s="1" t="s">
        <v>14</v>
      </c>
      <c r="D14" s="14"/>
      <c r="E14" s="1" t="s">
        <v>320</v>
      </c>
      <c r="F14" s="11">
        <v>33000.0</v>
      </c>
    </row>
    <row r="15">
      <c r="A15" s="1" t="s">
        <v>14</v>
      </c>
      <c r="D15" s="14"/>
      <c r="E15" s="1" t="s">
        <v>293</v>
      </c>
      <c r="F15" s="11">
        <v>33000.0</v>
      </c>
    </row>
    <row r="16">
      <c r="A16" s="1" t="s">
        <v>14</v>
      </c>
      <c r="D16" s="14"/>
      <c r="E16" s="1" t="s">
        <v>239</v>
      </c>
      <c r="F16" s="11">
        <v>25000.0</v>
      </c>
    </row>
    <row r="17">
      <c r="A17" s="1" t="s">
        <v>14</v>
      </c>
      <c r="D17" s="14"/>
      <c r="E17" s="1" t="s">
        <v>243</v>
      </c>
      <c r="F17" s="11">
        <v>8000.0</v>
      </c>
    </row>
    <row r="18">
      <c r="D18" s="14"/>
      <c r="F18" s="14"/>
    </row>
    <row r="19">
      <c r="D19" s="14"/>
      <c r="F19" s="14"/>
    </row>
    <row r="20">
      <c r="D20" s="14"/>
      <c r="F20" s="14"/>
      <c r="H20" s="1" t="s">
        <v>26</v>
      </c>
    </row>
    <row r="21">
      <c r="A21" s="1" t="s">
        <v>313</v>
      </c>
      <c r="D21" s="14">
        <f>SUM(D2:D19)</f>
        <v>125000</v>
      </c>
      <c r="F21" s="14">
        <f>SUM(F2:F19)</f>
        <v>290000</v>
      </c>
      <c r="H21" s="18">
        <f t="shared" ref="H21:H23" si="1">F21/D21</f>
        <v>2.32</v>
      </c>
      <c r="J21" s="17">
        <f t="shared" ref="J21:J23" si="2">D21*3/100</f>
        <v>3750</v>
      </c>
    </row>
    <row r="22">
      <c r="A22" s="1" t="s">
        <v>321</v>
      </c>
      <c r="D22" s="14">
        <f>'nikitaben solanki'!D17</f>
        <v>100000</v>
      </c>
      <c r="F22" s="14">
        <f>'nikitaben solanki'!F17</f>
        <v>234000</v>
      </c>
      <c r="H22" s="18">
        <f t="shared" si="1"/>
        <v>2.34</v>
      </c>
      <c r="J22" s="17">
        <f t="shared" si="2"/>
        <v>3000</v>
      </c>
    </row>
    <row r="23">
      <c r="A23" s="1" t="s">
        <v>325</v>
      </c>
      <c r="D23" s="14">
        <f>'Tarunaben solanki'!D14</f>
        <v>100000</v>
      </c>
      <c r="F23" s="14">
        <f>'Tarunaben solanki'!F14</f>
        <v>45000</v>
      </c>
      <c r="H23" s="18">
        <f t="shared" si="1"/>
        <v>0.45</v>
      </c>
      <c r="J23" s="17">
        <f t="shared" si="2"/>
        <v>3000</v>
      </c>
    </row>
    <row r="24">
      <c r="D24" s="14"/>
      <c r="F24" s="14"/>
    </row>
    <row r="25">
      <c r="D25" s="14">
        <f>SUM(D21:D23)</f>
        <v>325000</v>
      </c>
      <c r="F25" s="14">
        <f>SUM(F21:F23)</f>
        <v>569000</v>
      </c>
      <c r="H25" s="82">
        <f>F25/D25</f>
        <v>1.750769231</v>
      </c>
    </row>
    <row r="26">
      <c r="D26" s="14"/>
      <c r="F26" s="14"/>
    </row>
    <row r="27">
      <c r="D27" s="14"/>
      <c r="F27" s="14"/>
    </row>
    <row r="28">
      <c r="D28" s="14"/>
      <c r="F28" s="14"/>
    </row>
    <row r="29">
      <c r="D29" s="14"/>
      <c r="F29" s="14"/>
    </row>
    <row r="30">
      <c r="D30" s="14"/>
      <c r="F30" s="14"/>
    </row>
    <row r="31">
      <c r="D31" s="14"/>
      <c r="F31" s="14"/>
    </row>
    <row r="32">
      <c r="D32" s="14"/>
      <c r="F32" s="14"/>
    </row>
    <row r="33">
      <c r="D33" s="14"/>
      <c r="F33" s="14"/>
    </row>
    <row r="34">
      <c r="D34" s="14"/>
      <c r="F34" s="14"/>
    </row>
    <row r="35">
      <c r="D35" s="14"/>
      <c r="F35" s="14"/>
    </row>
    <row r="36">
      <c r="D36" s="14"/>
      <c r="F36" s="14"/>
    </row>
    <row r="37">
      <c r="D37" s="14"/>
      <c r="F37" s="14"/>
    </row>
    <row r="38">
      <c r="D38" s="14"/>
      <c r="F38" s="14"/>
    </row>
    <row r="39">
      <c r="D39" s="14"/>
      <c r="F39" s="14"/>
    </row>
    <row r="40">
      <c r="D40" s="14"/>
      <c r="F40" s="14"/>
    </row>
    <row r="41">
      <c r="D41" s="14"/>
      <c r="F41" s="14"/>
    </row>
    <row r="42">
      <c r="D42" s="14"/>
      <c r="F42" s="14"/>
    </row>
    <row r="43">
      <c r="D43" s="14"/>
      <c r="F43" s="14"/>
    </row>
    <row r="44">
      <c r="D44" s="14"/>
      <c r="F44" s="14"/>
    </row>
    <row r="45">
      <c r="D45" s="14"/>
      <c r="F45" s="14"/>
    </row>
    <row r="46">
      <c r="D46" s="14"/>
      <c r="F46" s="14"/>
    </row>
    <row r="47">
      <c r="D47" s="14"/>
      <c r="F47" s="14"/>
    </row>
    <row r="48">
      <c r="D48" s="14"/>
      <c r="F48" s="14"/>
    </row>
    <row r="49">
      <c r="D49" s="14"/>
      <c r="F49" s="14"/>
    </row>
    <row r="50">
      <c r="D50" s="14"/>
      <c r="F50" s="14"/>
    </row>
    <row r="51">
      <c r="D51" s="14"/>
      <c r="F51" s="14"/>
    </row>
    <row r="52">
      <c r="D52" s="14"/>
      <c r="F52" s="14"/>
    </row>
    <row r="53">
      <c r="D53" s="14"/>
      <c r="F53" s="14"/>
    </row>
    <row r="54">
      <c r="D54" s="14"/>
      <c r="F54" s="14"/>
    </row>
    <row r="55">
      <c r="D55" s="14"/>
      <c r="F55" s="14"/>
    </row>
    <row r="56">
      <c r="D56" s="14"/>
      <c r="F56" s="14"/>
    </row>
    <row r="57">
      <c r="D57" s="14"/>
      <c r="F57" s="14"/>
    </row>
    <row r="58">
      <c r="D58" s="14"/>
      <c r="F58" s="14"/>
    </row>
    <row r="59">
      <c r="D59" s="14"/>
      <c r="F59" s="14"/>
    </row>
    <row r="60">
      <c r="D60" s="14"/>
      <c r="F60" s="14"/>
    </row>
    <row r="61">
      <c r="D61" s="14"/>
      <c r="F61" s="14"/>
    </row>
    <row r="62">
      <c r="D62" s="14"/>
      <c r="F62" s="14"/>
    </row>
    <row r="63">
      <c r="D63" s="14"/>
      <c r="F63" s="14"/>
    </row>
    <row r="64">
      <c r="D64" s="14"/>
      <c r="F64" s="14"/>
    </row>
    <row r="65">
      <c r="D65" s="14"/>
      <c r="F65" s="14"/>
    </row>
    <row r="66">
      <c r="D66" s="14"/>
      <c r="F66" s="14"/>
    </row>
    <row r="67">
      <c r="D67" s="14"/>
      <c r="F67" s="14"/>
    </row>
    <row r="68">
      <c r="D68" s="14"/>
      <c r="F68" s="14"/>
    </row>
    <row r="69">
      <c r="D69" s="14"/>
      <c r="F69" s="14"/>
    </row>
    <row r="70">
      <c r="D70" s="14"/>
      <c r="F70" s="14"/>
    </row>
    <row r="71">
      <c r="D71" s="14"/>
      <c r="F71" s="14"/>
    </row>
    <row r="72">
      <c r="D72" s="14"/>
      <c r="F72" s="14"/>
    </row>
    <row r="73">
      <c r="D73" s="14"/>
      <c r="F73" s="14"/>
    </row>
    <row r="74">
      <c r="D74" s="14"/>
      <c r="F74" s="14"/>
    </row>
    <row r="75">
      <c r="D75" s="14"/>
      <c r="F75" s="14"/>
    </row>
    <row r="76">
      <c r="D76" s="14"/>
      <c r="F76" s="14"/>
    </row>
    <row r="77">
      <c r="D77" s="14"/>
      <c r="F77" s="14"/>
    </row>
    <row r="78">
      <c r="D78" s="14"/>
      <c r="F78" s="14"/>
    </row>
    <row r="79">
      <c r="D79" s="14"/>
      <c r="F79" s="14"/>
    </row>
    <row r="80">
      <c r="D80" s="14"/>
      <c r="F80" s="14"/>
    </row>
    <row r="81">
      <c r="D81" s="14"/>
      <c r="F81" s="14"/>
    </row>
    <row r="82">
      <c r="D82" s="14"/>
      <c r="F82" s="14"/>
    </row>
    <row r="83">
      <c r="D83" s="14"/>
      <c r="F83" s="14"/>
    </row>
    <row r="84">
      <c r="D84" s="14"/>
      <c r="F84" s="14"/>
    </row>
    <row r="85">
      <c r="D85" s="14"/>
      <c r="F85" s="14"/>
    </row>
    <row r="86">
      <c r="D86" s="14"/>
      <c r="F86" s="14"/>
    </row>
    <row r="87">
      <c r="D87" s="14"/>
      <c r="F87" s="14"/>
    </row>
    <row r="88">
      <c r="D88" s="14"/>
      <c r="F88" s="14"/>
    </row>
    <row r="89">
      <c r="D89" s="14"/>
      <c r="F89" s="14"/>
    </row>
    <row r="90">
      <c r="D90" s="14"/>
      <c r="F90" s="14"/>
    </row>
    <row r="91">
      <c r="D91" s="14"/>
      <c r="F91" s="14"/>
    </row>
    <row r="92">
      <c r="D92" s="14"/>
      <c r="F92" s="14"/>
    </row>
    <row r="93">
      <c r="D93" s="14"/>
      <c r="F93" s="14"/>
    </row>
    <row r="94">
      <c r="D94" s="14"/>
      <c r="F94" s="14"/>
    </row>
    <row r="95">
      <c r="D95" s="14"/>
      <c r="F95" s="14"/>
    </row>
    <row r="96">
      <c r="D96" s="14"/>
      <c r="F96" s="14"/>
    </row>
    <row r="97">
      <c r="D97" s="14"/>
      <c r="F97" s="14"/>
    </row>
    <row r="98">
      <c r="D98" s="14"/>
      <c r="F98" s="14"/>
    </row>
    <row r="99">
      <c r="D99" s="14"/>
      <c r="F99" s="14"/>
    </row>
    <row r="100">
      <c r="D100" s="14"/>
      <c r="F100" s="14"/>
    </row>
    <row r="101">
      <c r="D101" s="14"/>
      <c r="F101" s="14"/>
    </row>
    <row r="102">
      <c r="D102" s="14"/>
      <c r="F102" s="14"/>
    </row>
    <row r="103">
      <c r="D103" s="14"/>
      <c r="F103" s="14"/>
    </row>
    <row r="104">
      <c r="D104" s="14"/>
      <c r="F104" s="14"/>
    </row>
    <row r="105">
      <c r="D105" s="14"/>
      <c r="F105" s="14"/>
    </row>
    <row r="106">
      <c r="D106" s="14"/>
      <c r="F106" s="14"/>
    </row>
    <row r="107">
      <c r="D107" s="14"/>
      <c r="F107" s="14"/>
    </row>
    <row r="108">
      <c r="D108" s="14"/>
      <c r="F108" s="14"/>
    </row>
    <row r="109">
      <c r="D109" s="14"/>
      <c r="F109" s="14"/>
    </row>
    <row r="110">
      <c r="D110" s="14"/>
      <c r="F110" s="14"/>
    </row>
    <row r="111">
      <c r="D111" s="14"/>
      <c r="F111" s="14"/>
    </row>
    <row r="112">
      <c r="D112" s="14"/>
      <c r="F112" s="14"/>
    </row>
    <row r="113">
      <c r="D113" s="14"/>
      <c r="F113" s="14"/>
    </row>
    <row r="114">
      <c r="D114" s="14"/>
      <c r="F114" s="14"/>
    </row>
    <row r="115">
      <c r="D115" s="14"/>
      <c r="F115" s="14"/>
    </row>
    <row r="116">
      <c r="D116" s="14"/>
      <c r="F116" s="14"/>
    </row>
    <row r="117">
      <c r="D117" s="14"/>
      <c r="F117" s="14"/>
    </row>
    <row r="118">
      <c r="D118" s="14"/>
      <c r="F118" s="14"/>
    </row>
    <row r="119">
      <c r="D119" s="14"/>
      <c r="F119" s="14"/>
    </row>
    <row r="120">
      <c r="D120" s="14"/>
      <c r="F120" s="14"/>
    </row>
    <row r="121">
      <c r="D121" s="14"/>
      <c r="F121" s="14"/>
    </row>
    <row r="122">
      <c r="D122" s="14"/>
      <c r="F122" s="14"/>
    </row>
    <row r="123">
      <c r="D123" s="14"/>
      <c r="F123" s="14"/>
    </row>
    <row r="124">
      <c r="D124" s="14"/>
      <c r="F124" s="14"/>
    </row>
    <row r="125">
      <c r="D125" s="14"/>
      <c r="F125" s="14"/>
    </row>
    <row r="126">
      <c r="D126" s="14"/>
      <c r="F126" s="14"/>
    </row>
    <row r="127">
      <c r="D127" s="14"/>
      <c r="F127" s="14"/>
    </row>
    <row r="128">
      <c r="D128" s="14"/>
      <c r="F128" s="14"/>
    </row>
    <row r="129">
      <c r="D129" s="14"/>
      <c r="F129" s="14"/>
    </row>
    <row r="130">
      <c r="D130" s="14"/>
      <c r="F130" s="14"/>
    </row>
    <row r="131">
      <c r="D131" s="14"/>
      <c r="F131" s="14"/>
    </row>
    <row r="132">
      <c r="D132" s="14"/>
      <c r="F132" s="14"/>
    </row>
    <row r="133">
      <c r="D133" s="14"/>
      <c r="F133" s="14"/>
    </row>
    <row r="134">
      <c r="D134" s="14"/>
      <c r="F134" s="14"/>
    </row>
    <row r="135">
      <c r="D135" s="14"/>
      <c r="F135" s="14"/>
    </row>
    <row r="136">
      <c r="D136" s="14"/>
      <c r="F136" s="14"/>
    </row>
    <row r="137">
      <c r="D137" s="14"/>
      <c r="F137" s="14"/>
    </row>
    <row r="138">
      <c r="D138" s="14"/>
      <c r="F138" s="14"/>
    </row>
    <row r="139">
      <c r="D139" s="14"/>
      <c r="F139" s="14"/>
    </row>
    <row r="140">
      <c r="D140" s="14"/>
      <c r="F140" s="14"/>
    </row>
    <row r="141">
      <c r="D141" s="14"/>
      <c r="F141" s="14"/>
    </row>
    <row r="142">
      <c r="D142" s="14"/>
      <c r="F142" s="14"/>
    </row>
    <row r="143">
      <c r="D143" s="14"/>
      <c r="F143" s="14"/>
    </row>
    <row r="144">
      <c r="D144" s="14"/>
      <c r="F144" s="14"/>
    </row>
    <row r="145">
      <c r="D145" s="14"/>
      <c r="F145" s="14"/>
    </row>
    <row r="146">
      <c r="D146" s="14"/>
      <c r="F146" s="14"/>
    </row>
    <row r="147">
      <c r="D147" s="14"/>
      <c r="F147" s="14"/>
    </row>
    <row r="148">
      <c r="D148" s="14"/>
      <c r="F148" s="14"/>
    </row>
    <row r="149">
      <c r="D149" s="14"/>
      <c r="F149" s="14"/>
    </row>
    <row r="150">
      <c r="D150" s="14"/>
      <c r="F150" s="14"/>
    </row>
    <row r="151">
      <c r="D151" s="14"/>
      <c r="F151" s="14"/>
    </row>
    <row r="152">
      <c r="D152" s="14"/>
      <c r="F152" s="14"/>
    </row>
    <row r="153">
      <c r="D153" s="14"/>
      <c r="F153" s="14"/>
    </row>
    <row r="154">
      <c r="D154" s="14"/>
      <c r="F154" s="14"/>
    </row>
    <row r="155">
      <c r="D155" s="14"/>
      <c r="F155" s="14"/>
    </row>
    <row r="156">
      <c r="D156" s="14"/>
      <c r="F156" s="14"/>
    </row>
    <row r="157">
      <c r="D157" s="14"/>
      <c r="F157" s="14"/>
    </row>
    <row r="158">
      <c r="D158" s="14"/>
      <c r="F158" s="14"/>
    </row>
    <row r="159">
      <c r="D159" s="14"/>
      <c r="F159" s="14"/>
    </row>
    <row r="160">
      <c r="D160" s="14"/>
      <c r="F160" s="14"/>
    </row>
    <row r="161">
      <c r="D161" s="14"/>
      <c r="F161" s="14"/>
    </row>
    <row r="162">
      <c r="D162" s="14"/>
      <c r="F162" s="14"/>
    </row>
    <row r="163">
      <c r="D163" s="14"/>
      <c r="F163" s="14"/>
    </row>
    <row r="164">
      <c r="D164" s="14"/>
      <c r="F164" s="14"/>
    </row>
    <row r="165">
      <c r="D165" s="14"/>
      <c r="F165" s="14"/>
    </row>
    <row r="166">
      <c r="D166" s="14"/>
      <c r="F166" s="14"/>
    </row>
    <row r="167">
      <c r="D167" s="14"/>
      <c r="F167" s="14"/>
    </row>
    <row r="168">
      <c r="D168" s="14"/>
      <c r="F168" s="14"/>
    </row>
    <row r="169">
      <c r="D169" s="14"/>
      <c r="F169" s="14"/>
    </row>
    <row r="170">
      <c r="D170" s="14"/>
      <c r="F170" s="14"/>
    </row>
    <row r="171">
      <c r="D171" s="14"/>
      <c r="F171" s="14"/>
    </row>
    <row r="172">
      <c r="D172" s="14"/>
      <c r="F172" s="14"/>
    </row>
    <row r="173">
      <c r="D173" s="14"/>
      <c r="F173" s="14"/>
    </row>
    <row r="174">
      <c r="D174" s="14"/>
      <c r="F174" s="14"/>
    </row>
    <row r="175">
      <c r="D175" s="14"/>
      <c r="F175" s="14"/>
    </row>
    <row r="176">
      <c r="D176" s="14"/>
      <c r="F176" s="14"/>
    </row>
    <row r="177">
      <c r="D177" s="14"/>
      <c r="F177" s="14"/>
    </row>
    <row r="178">
      <c r="D178" s="14"/>
      <c r="F178" s="14"/>
    </row>
    <row r="179">
      <c r="D179" s="14"/>
      <c r="F179" s="14"/>
    </row>
    <row r="180">
      <c r="D180" s="14"/>
      <c r="F180" s="14"/>
    </row>
    <row r="181">
      <c r="D181" s="14"/>
      <c r="F181" s="14"/>
    </row>
    <row r="182">
      <c r="D182" s="14"/>
      <c r="F182" s="14"/>
    </row>
    <row r="183">
      <c r="D183" s="14"/>
      <c r="F183" s="14"/>
    </row>
    <row r="184">
      <c r="D184" s="14"/>
      <c r="F184" s="14"/>
    </row>
    <row r="185">
      <c r="D185" s="14"/>
      <c r="F185" s="14"/>
    </row>
    <row r="186">
      <c r="D186" s="14"/>
      <c r="F186" s="14"/>
    </row>
    <row r="187">
      <c r="D187" s="14"/>
      <c r="F187" s="14"/>
    </row>
    <row r="188">
      <c r="D188" s="14"/>
      <c r="F188" s="14"/>
    </row>
    <row r="189">
      <c r="D189" s="14"/>
      <c r="F189" s="14"/>
    </row>
    <row r="190">
      <c r="D190" s="14"/>
      <c r="F190" s="14"/>
    </row>
    <row r="191">
      <c r="D191" s="14"/>
      <c r="F191" s="14"/>
    </row>
    <row r="192">
      <c r="D192" s="14"/>
      <c r="F192" s="14"/>
    </row>
    <row r="193">
      <c r="D193" s="14"/>
      <c r="F193" s="14"/>
    </row>
    <row r="194">
      <c r="D194" s="14"/>
      <c r="F194" s="14"/>
    </row>
    <row r="195">
      <c r="D195" s="14"/>
      <c r="F195" s="14"/>
    </row>
    <row r="196">
      <c r="D196" s="14"/>
      <c r="F196" s="14"/>
    </row>
    <row r="197">
      <c r="D197" s="14"/>
      <c r="F197" s="14"/>
    </row>
    <row r="198">
      <c r="D198" s="14"/>
      <c r="F198" s="14"/>
    </row>
    <row r="199">
      <c r="D199" s="14"/>
      <c r="F199" s="14"/>
    </row>
    <row r="200">
      <c r="D200" s="14"/>
      <c r="F200" s="14"/>
    </row>
    <row r="201">
      <c r="D201" s="14"/>
      <c r="F201" s="14"/>
    </row>
    <row r="202">
      <c r="D202" s="14"/>
      <c r="F202" s="14"/>
    </row>
    <row r="203">
      <c r="D203" s="14"/>
      <c r="F203" s="14"/>
    </row>
    <row r="204">
      <c r="D204" s="14"/>
      <c r="F204" s="14"/>
    </row>
    <row r="205">
      <c r="D205" s="14"/>
      <c r="F205" s="14"/>
    </row>
    <row r="206">
      <c r="D206" s="14"/>
      <c r="F206" s="14"/>
    </row>
    <row r="207">
      <c r="D207" s="14"/>
      <c r="F207" s="14"/>
    </row>
    <row r="208">
      <c r="D208" s="14"/>
      <c r="F208" s="14"/>
    </row>
    <row r="209">
      <c r="D209" s="14"/>
      <c r="F209" s="14"/>
    </row>
    <row r="210">
      <c r="D210" s="14"/>
      <c r="F210" s="14"/>
    </row>
    <row r="211">
      <c r="D211" s="14"/>
      <c r="F211" s="14"/>
    </row>
    <row r="212">
      <c r="D212" s="14"/>
      <c r="F212" s="14"/>
    </row>
    <row r="213">
      <c r="D213" s="14"/>
      <c r="F213" s="14"/>
    </row>
    <row r="214">
      <c r="D214" s="14"/>
      <c r="F214" s="14"/>
    </row>
    <row r="215">
      <c r="D215" s="14"/>
      <c r="F215" s="14"/>
    </row>
    <row r="216">
      <c r="D216" s="14"/>
      <c r="F216" s="14"/>
    </row>
    <row r="217">
      <c r="D217" s="14"/>
      <c r="F217" s="14"/>
    </row>
    <row r="218">
      <c r="D218" s="14"/>
      <c r="F218" s="14"/>
    </row>
    <row r="219">
      <c r="D219" s="14"/>
      <c r="F219" s="14"/>
    </row>
    <row r="220">
      <c r="D220" s="14"/>
      <c r="F220" s="14"/>
    </row>
    <row r="221">
      <c r="D221" s="14"/>
      <c r="F221" s="14"/>
    </row>
    <row r="222">
      <c r="D222" s="14"/>
      <c r="F222" s="14"/>
    </row>
    <row r="223">
      <c r="D223" s="14"/>
      <c r="F223" s="14"/>
    </row>
    <row r="224">
      <c r="D224" s="14"/>
      <c r="F224" s="14"/>
    </row>
    <row r="225">
      <c r="D225" s="14"/>
      <c r="F225" s="14"/>
    </row>
    <row r="226">
      <c r="D226" s="14"/>
      <c r="F226" s="14"/>
    </row>
    <row r="227">
      <c r="D227" s="14"/>
      <c r="F227" s="14"/>
    </row>
    <row r="228">
      <c r="D228" s="14"/>
      <c r="F228" s="14"/>
    </row>
    <row r="229">
      <c r="D229" s="14"/>
      <c r="F229" s="14"/>
    </row>
    <row r="230">
      <c r="D230" s="14"/>
      <c r="F230" s="14"/>
    </row>
    <row r="231">
      <c r="D231" s="14"/>
      <c r="F231" s="14"/>
    </row>
    <row r="232">
      <c r="D232" s="14"/>
      <c r="F232" s="14"/>
    </row>
    <row r="233">
      <c r="D233" s="14"/>
      <c r="F233" s="14"/>
    </row>
    <row r="234">
      <c r="D234" s="14"/>
      <c r="F234" s="14"/>
    </row>
    <row r="235">
      <c r="D235" s="14"/>
      <c r="F235" s="14"/>
    </row>
    <row r="236">
      <c r="D236" s="14"/>
      <c r="F236" s="14"/>
    </row>
    <row r="237">
      <c r="D237" s="14"/>
      <c r="F237" s="14"/>
    </row>
    <row r="238">
      <c r="D238" s="14"/>
      <c r="F238" s="14"/>
    </row>
    <row r="239">
      <c r="D239" s="14"/>
      <c r="F239" s="14"/>
    </row>
    <row r="240">
      <c r="D240" s="14"/>
      <c r="F240" s="14"/>
    </row>
    <row r="241">
      <c r="D241" s="14"/>
      <c r="F241" s="14"/>
    </row>
    <row r="242">
      <c r="D242" s="14"/>
      <c r="F242" s="14"/>
    </row>
    <row r="243">
      <c r="D243" s="14"/>
      <c r="F243" s="14"/>
    </row>
    <row r="244">
      <c r="D244" s="14"/>
      <c r="F244" s="14"/>
    </row>
    <row r="245">
      <c r="D245" s="14"/>
      <c r="F245" s="14"/>
    </row>
    <row r="246">
      <c r="D246" s="14"/>
      <c r="F246" s="14"/>
    </row>
    <row r="247">
      <c r="D247" s="14"/>
      <c r="F247" s="14"/>
    </row>
    <row r="248">
      <c r="D248" s="14"/>
      <c r="F248" s="14"/>
    </row>
    <row r="249">
      <c r="D249" s="14"/>
      <c r="F249" s="14"/>
    </row>
    <row r="250">
      <c r="D250" s="14"/>
      <c r="F250" s="14"/>
    </row>
    <row r="251">
      <c r="D251" s="14"/>
      <c r="F251" s="14"/>
    </row>
    <row r="252">
      <c r="D252" s="14"/>
      <c r="F252" s="14"/>
    </row>
    <row r="253">
      <c r="D253" s="14"/>
      <c r="F253" s="14"/>
    </row>
    <row r="254">
      <c r="D254" s="14"/>
      <c r="F254" s="14"/>
    </row>
    <row r="255">
      <c r="D255" s="14"/>
      <c r="F255" s="14"/>
    </row>
    <row r="256">
      <c r="D256" s="14"/>
      <c r="F256" s="14"/>
    </row>
    <row r="257">
      <c r="D257" s="14"/>
      <c r="F257" s="14"/>
    </row>
    <row r="258">
      <c r="D258" s="14"/>
      <c r="F258" s="14"/>
    </row>
    <row r="259">
      <c r="D259" s="14"/>
      <c r="F259" s="14"/>
    </row>
    <row r="260">
      <c r="D260" s="14"/>
      <c r="F260" s="14"/>
    </row>
    <row r="261">
      <c r="D261" s="14"/>
      <c r="F261" s="14"/>
    </row>
    <row r="262">
      <c r="D262" s="14"/>
      <c r="F262" s="14"/>
    </row>
    <row r="263">
      <c r="D263" s="14"/>
      <c r="F263" s="14"/>
    </row>
    <row r="264">
      <c r="D264" s="14"/>
      <c r="F264" s="14"/>
    </row>
    <row r="265">
      <c r="D265" s="14"/>
      <c r="F265" s="14"/>
    </row>
    <row r="266">
      <c r="D266" s="14"/>
      <c r="F266" s="14"/>
    </row>
    <row r="267">
      <c r="D267" s="14"/>
      <c r="F267" s="14"/>
    </row>
    <row r="268">
      <c r="D268" s="14"/>
      <c r="F268" s="14"/>
    </row>
    <row r="269">
      <c r="D269" s="14"/>
      <c r="F269" s="14"/>
    </row>
    <row r="270">
      <c r="D270" s="14"/>
      <c r="F270" s="14"/>
    </row>
    <row r="271">
      <c r="D271" s="14"/>
      <c r="F271" s="14"/>
    </row>
    <row r="272">
      <c r="D272" s="14"/>
      <c r="F272" s="14"/>
    </row>
    <row r="273">
      <c r="D273" s="14"/>
      <c r="F273" s="14"/>
    </row>
    <row r="274">
      <c r="D274" s="14"/>
      <c r="F274" s="14"/>
    </row>
    <row r="275">
      <c r="D275" s="14"/>
      <c r="F275" s="14"/>
    </row>
    <row r="276">
      <c r="D276" s="14"/>
      <c r="F276" s="14"/>
    </row>
    <row r="277">
      <c r="D277" s="14"/>
      <c r="F277" s="14"/>
    </row>
    <row r="278">
      <c r="D278" s="14"/>
      <c r="F278" s="14"/>
    </row>
    <row r="279">
      <c r="D279" s="14"/>
      <c r="F279" s="14"/>
    </row>
    <row r="280">
      <c r="D280" s="14"/>
      <c r="F280" s="14"/>
    </row>
    <row r="281">
      <c r="D281" s="14"/>
      <c r="F281" s="14"/>
    </row>
    <row r="282">
      <c r="D282" s="14"/>
      <c r="F282" s="14"/>
    </row>
    <row r="283">
      <c r="D283" s="14"/>
      <c r="F283" s="14"/>
    </row>
    <row r="284">
      <c r="D284" s="14"/>
      <c r="F284" s="14"/>
    </row>
    <row r="285">
      <c r="D285" s="14"/>
      <c r="F285" s="14"/>
    </row>
    <row r="286">
      <c r="D286" s="14"/>
      <c r="F286" s="14"/>
    </row>
    <row r="287">
      <c r="D287" s="14"/>
      <c r="F287" s="14"/>
    </row>
    <row r="288">
      <c r="D288" s="14"/>
      <c r="F288" s="14"/>
    </row>
    <row r="289">
      <c r="D289" s="14"/>
      <c r="F289" s="14"/>
    </row>
    <row r="290">
      <c r="D290" s="14"/>
      <c r="F290" s="14"/>
    </row>
    <row r="291">
      <c r="D291" s="14"/>
      <c r="F291" s="14"/>
    </row>
    <row r="292">
      <c r="D292" s="14"/>
      <c r="F292" s="14"/>
    </row>
    <row r="293">
      <c r="D293" s="14"/>
      <c r="F293" s="14"/>
    </row>
    <row r="294">
      <c r="D294" s="14"/>
      <c r="F294" s="14"/>
    </row>
    <row r="295">
      <c r="D295" s="14"/>
      <c r="F295" s="14"/>
    </row>
    <row r="296">
      <c r="D296" s="14"/>
      <c r="F296" s="14"/>
    </row>
    <row r="297">
      <c r="D297" s="14"/>
      <c r="F297" s="14"/>
    </row>
    <row r="298">
      <c r="D298" s="14"/>
      <c r="F298" s="14"/>
    </row>
    <row r="299">
      <c r="D299" s="14"/>
      <c r="F299" s="14"/>
    </row>
    <row r="300">
      <c r="D300" s="14"/>
      <c r="F300" s="14"/>
    </row>
    <row r="301">
      <c r="D301" s="14"/>
      <c r="F301" s="14"/>
    </row>
    <row r="302">
      <c r="D302" s="14"/>
      <c r="F302" s="14"/>
    </row>
    <row r="303">
      <c r="D303" s="14"/>
      <c r="F303" s="14"/>
    </row>
    <row r="304">
      <c r="D304" s="14"/>
      <c r="F304" s="14"/>
    </row>
    <row r="305">
      <c r="D305" s="14"/>
      <c r="F305" s="14"/>
    </row>
    <row r="306">
      <c r="D306" s="14"/>
      <c r="F306" s="14"/>
    </row>
    <row r="307">
      <c r="D307" s="14"/>
      <c r="F307" s="14"/>
    </row>
    <row r="308">
      <c r="D308" s="14"/>
      <c r="F308" s="14"/>
    </row>
    <row r="309">
      <c r="D309" s="14"/>
      <c r="F309" s="14"/>
    </row>
    <row r="310">
      <c r="D310" s="14"/>
      <c r="F310" s="14"/>
    </row>
    <row r="311">
      <c r="D311" s="14"/>
      <c r="F311" s="14"/>
    </row>
    <row r="312">
      <c r="D312" s="14"/>
      <c r="F312" s="14"/>
    </row>
    <row r="313">
      <c r="D313" s="14"/>
      <c r="F313" s="14"/>
    </row>
    <row r="314">
      <c r="D314" s="14"/>
      <c r="F314" s="14"/>
    </row>
    <row r="315">
      <c r="D315" s="14"/>
      <c r="F315" s="14"/>
    </row>
    <row r="316">
      <c r="D316" s="14"/>
      <c r="F316" s="14"/>
    </row>
    <row r="317">
      <c r="D317" s="14"/>
      <c r="F317" s="14"/>
    </row>
    <row r="318">
      <c r="D318" s="14"/>
      <c r="F318" s="14"/>
    </row>
    <row r="319">
      <c r="D319" s="14"/>
      <c r="F319" s="14"/>
    </row>
    <row r="320">
      <c r="D320" s="14"/>
      <c r="F320" s="14"/>
    </row>
    <row r="321">
      <c r="D321" s="14"/>
      <c r="F321" s="14"/>
    </row>
    <row r="322">
      <c r="D322" s="14"/>
      <c r="F322" s="14"/>
    </row>
    <row r="323">
      <c r="D323" s="14"/>
      <c r="F323" s="14"/>
    </row>
    <row r="324">
      <c r="D324" s="14"/>
      <c r="F324" s="14"/>
    </row>
    <row r="325">
      <c r="D325" s="14"/>
      <c r="F325" s="14"/>
    </row>
    <row r="326">
      <c r="D326" s="14"/>
      <c r="F326" s="14"/>
    </row>
    <row r="327">
      <c r="D327" s="14"/>
      <c r="F327" s="14"/>
    </row>
    <row r="328">
      <c r="D328" s="14"/>
      <c r="F328" s="14"/>
    </row>
    <row r="329">
      <c r="D329" s="14"/>
      <c r="F329" s="14"/>
    </row>
    <row r="330">
      <c r="D330" s="14"/>
      <c r="F330" s="14"/>
    </row>
    <row r="331">
      <c r="D331" s="14"/>
      <c r="F331" s="14"/>
    </row>
    <row r="332">
      <c r="D332" s="14"/>
      <c r="F332" s="14"/>
    </row>
    <row r="333">
      <c r="D333" s="14"/>
      <c r="F333" s="14"/>
    </row>
    <row r="334">
      <c r="D334" s="14"/>
      <c r="F334" s="14"/>
    </row>
    <row r="335">
      <c r="D335" s="14"/>
      <c r="F335" s="14"/>
    </row>
    <row r="336">
      <c r="D336" s="14"/>
      <c r="F336" s="14"/>
    </row>
    <row r="337">
      <c r="D337" s="14"/>
      <c r="F337" s="14"/>
    </row>
    <row r="338">
      <c r="D338" s="14"/>
      <c r="F338" s="14"/>
    </row>
    <row r="339">
      <c r="D339" s="14"/>
      <c r="F339" s="14"/>
    </row>
    <row r="340">
      <c r="D340" s="14"/>
      <c r="F340" s="14"/>
    </row>
    <row r="341">
      <c r="D341" s="14"/>
      <c r="F341" s="14"/>
    </row>
    <row r="342">
      <c r="D342" s="14"/>
      <c r="F342" s="14"/>
    </row>
    <row r="343">
      <c r="D343" s="14"/>
      <c r="F343" s="14"/>
    </row>
    <row r="344">
      <c r="D344" s="14"/>
      <c r="F344" s="14"/>
    </row>
    <row r="345">
      <c r="D345" s="14"/>
      <c r="F345" s="14"/>
    </row>
    <row r="346">
      <c r="D346" s="14"/>
      <c r="F346" s="14"/>
    </row>
    <row r="347">
      <c r="D347" s="14"/>
      <c r="F347" s="14"/>
    </row>
    <row r="348">
      <c r="D348" s="14"/>
      <c r="F348" s="14"/>
    </row>
    <row r="349">
      <c r="D349" s="14"/>
      <c r="F349" s="14"/>
    </row>
    <row r="350">
      <c r="D350" s="14"/>
      <c r="F350" s="14"/>
    </row>
    <row r="351">
      <c r="D351" s="14"/>
      <c r="F351" s="14"/>
    </row>
    <row r="352">
      <c r="D352" s="14"/>
      <c r="F352" s="14"/>
    </row>
    <row r="353">
      <c r="D353" s="14"/>
      <c r="F353" s="14"/>
    </row>
    <row r="354">
      <c r="D354" s="14"/>
      <c r="F354" s="14"/>
    </row>
    <row r="355">
      <c r="D355" s="14"/>
      <c r="F355" s="14"/>
    </row>
    <row r="356">
      <c r="D356" s="14"/>
      <c r="F356" s="14"/>
    </row>
    <row r="357">
      <c r="D357" s="14"/>
      <c r="F357" s="14"/>
    </row>
    <row r="358">
      <c r="D358" s="14"/>
      <c r="F358" s="14"/>
    </row>
    <row r="359">
      <c r="D359" s="14"/>
      <c r="F359" s="14"/>
    </row>
    <row r="360">
      <c r="D360" s="14"/>
      <c r="F360" s="14"/>
    </row>
    <row r="361">
      <c r="D361" s="14"/>
      <c r="F361" s="14"/>
    </row>
    <row r="362">
      <c r="D362" s="14"/>
      <c r="F362" s="14"/>
    </row>
    <row r="363">
      <c r="D363" s="14"/>
      <c r="F363" s="14"/>
    </row>
    <row r="364">
      <c r="D364" s="14"/>
      <c r="F364" s="14"/>
    </row>
    <row r="365">
      <c r="D365" s="14"/>
      <c r="F365" s="14"/>
    </row>
    <row r="366">
      <c r="D366" s="14"/>
      <c r="F366" s="14"/>
    </row>
    <row r="367">
      <c r="D367" s="14"/>
      <c r="F367" s="14"/>
    </row>
    <row r="368">
      <c r="D368" s="14"/>
      <c r="F368" s="14"/>
    </row>
    <row r="369">
      <c r="D369" s="14"/>
      <c r="F369" s="14"/>
    </row>
    <row r="370">
      <c r="D370" s="14"/>
      <c r="F370" s="14"/>
    </row>
    <row r="371">
      <c r="D371" s="14"/>
      <c r="F371" s="14"/>
    </row>
    <row r="372">
      <c r="D372" s="14"/>
      <c r="F372" s="14"/>
    </row>
    <row r="373">
      <c r="D373" s="14"/>
      <c r="F373" s="14"/>
    </row>
    <row r="374">
      <c r="D374" s="14"/>
      <c r="F374" s="14"/>
    </row>
    <row r="375">
      <c r="D375" s="14"/>
      <c r="F375" s="14"/>
    </row>
    <row r="376">
      <c r="D376" s="14"/>
      <c r="F376" s="14"/>
    </row>
    <row r="377">
      <c r="D377" s="14"/>
      <c r="F377" s="14"/>
    </row>
    <row r="378">
      <c r="D378" s="14"/>
      <c r="F378" s="14"/>
    </row>
    <row r="379">
      <c r="D379" s="14"/>
      <c r="F379" s="14"/>
    </row>
    <row r="380">
      <c r="D380" s="14"/>
      <c r="F380" s="14"/>
    </row>
    <row r="381">
      <c r="D381" s="14"/>
      <c r="F381" s="14"/>
    </row>
    <row r="382">
      <c r="D382" s="14"/>
      <c r="F382" s="14"/>
    </row>
    <row r="383">
      <c r="D383" s="14"/>
      <c r="F383" s="14"/>
    </row>
    <row r="384">
      <c r="D384" s="14"/>
      <c r="F384" s="14"/>
    </row>
    <row r="385">
      <c r="D385" s="14"/>
      <c r="F385" s="14"/>
    </row>
    <row r="386">
      <c r="D386" s="14"/>
      <c r="F386" s="14"/>
    </row>
    <row r="387">
      <c r="D387" s="14"/>
      <c r="F387" s="14"/>
    </row>
    <row r="388">
      <c r="D388" s="14"/>
      <c r="F388" s="14"/>
    </row>
    <row r="389">
      <c r="D389" s="14"/>
      <c r="F389" s="14"/>
    </row>
    <row r="390">
      <c r="D390" s="14"/>
      <c r="F390" s="14"/>
    </row>
    <row r="391">
      <c r="D391" s="14"/>
      <c r="F391" s="14"/>
    </row>
    <row r="392">
      <c r="D392" s="14"/>
      <c r="F392" s="14"/>
    </row>
    <row r="393">
      <c r="D393" s="14"/>
      <c r="F393" s="14"/>
    </row>
    <row r="394">
      <c r="D394" s="14"/>
      <c r="F394" s="14"/>
    </row>
    <row r="395">
      <c r="D395" s="14"/>
      <c r="F395" s="14"/>
    </row>
    <row r="396">
      <c r="D396" s="14"/>
      <c r="F396" s="14"/>
    </row>
    <row r="397">
      <c r="D397" s="14"/>
      <c r="F397" s="14"/>
    </row>
    <row r="398">
      <c r="D398" s="14"/>
      <c r="F398" s="14"/>
    </row>
    <row r="399">
      <c r="D399" s="14"/>
      <c r="F399" s="14"/>
    </row>
    <row r="400">
      <c r="D400" s="14"/>
      <c r="F400" s="14"/>
    </row>
    <row r="401">
      <c r="D401" s="14"/>
      <c r="F401" s="14"/>
    </row>
    <row r="402">
      <c r="D402" s="14"/>
      <c r="F402" s="14"/>
    </row>
    <row r="403">
      <c r="D403" s="14"/>
      <c r="F403" s="14"/>
    </row>
    <row r="404">
      <c r="D404" s="14"/>
      <c r="F404" s="14"/>
    </row>
    <row r="405">
      <c r="D405" s="14"/>
      <c r="F405" s="14"/>
    </row>
    <row r="406">
      <c r="D406" s="14"/>
      <c r="F406" s="14"/>
    </row>
    <row r="407">
      <c r="D407" s="14"/>
      <c r="F407" s="14"/>
    </row>
    <row r="408">
      <c r="D408" s="14"/>
      <c r="F408" s="14"/>
    </row>
    <row r="409">
      <c r="D409" s="14"/>
      <c r="F409" s="14"/>
    </row>
    <row r="410">
      <c r="D410" s="14"/>
      <c r="F410" s="14"/>
    </row>
    <row r="411">
      <c r="D411" s="14"/>
      <c r="F411" s="14"/>
    </row>
    <row r="412">
      <c r="D412" s="14"/>
      <c r="F412" s="14"/>
    </row>
    <row r="413">
      <c r="D413" s="14"/>
      <c r="F413" s="14"/>
    </row>
    <row r="414">
      <c r="D414" s="14"/>
      <c r="F414" s="14"/>
    </row>
    <row r="415">
      <c r="D415" s="14"/>
      <c r="F415" s="14"/>
    </row>
    <row r="416">
      <c r="D416" s="14"/>
      <c r="F416" s="14"/>
    </row>
    <row r="417">
      <c r="D417" s="14"/>
      <c r="F417" s="14"/>
    </row>
    <row r="418">
      <c r="D418" s="14"/>
      <c r="F418" s="14"/>
    </row>
    <row r="419">
      <c r="D419" s="14"/>
      <c r="F419" s="14"/>
    </row>
    <row r="420">
      <c r="D420" s="14"/>
      <c r="F420" s="14"/>
    </row>
    <row r="421">
      <c r="D421" s="14"/>
      <c r="F421" s="14"/>
    </row>
    <row r="422">
      <c r="D422" s="14"/>
      <c r="F422" s="14"/>
    </row>
    <row r="423">
      <c r="D423" s="14"/>
      <c r="F423" s="14"/>
    </row>
    <row r="424">
      <c r="D424" s="14"/>
      <c r="F424" s="14"/>
    </row>
    <row r="425">
      <c r="D425" s="14"/>
      <c r="F425" s="14"/>
    </row>
    <row r="426">
      <c r="D426" s="14"/>
      <c r="F426" s="14"/>
    </row>
    <row r="427">
      <c r="D427" s="14"/>
      <c r="F427" s="14"/>
    </row>
    <row r="428">
      <c r="D428" s="14"/>
      <c r="F428" s="14"/>
    </row>
    <row r="429">
      <c r="D429" s="14"/>
      <c r="F429" s="14"/>
    </row>
    <row r="430">
      <c r="D430" s="14"/>
      <c r="F430" s="14"/>
    </row>
    <row r="431">
      <c r="D431" s="14"/>
      <c r="F431" s="14"/>
    </row>
    <row r="432">
      <c r="D432" s="14"/>
      <c r="F432" s="14"/>
    </row>
    <row r="433">
      <c r="D433" s="14"/>
      <c r="F433" s="14"/>
    </row>
    <row r="434">
      <c r="D434" s="14"/>
      <c r="F434" s="14"/>
    </row>
    <row r="435">
      <c r="D435" s="14"/>
      <c r="F435" s="14"/>
    </row>
    <row r="436">
      <c r="D436" s="14"/>
      <c r="F436" s="14"/>
    </row>
    <row r="437">
      <c r="D437" s="14"/>
      <c r="F437" s="14"/>
    </row>
    <row r="438">
      <c r="D438" s="14"/>
      <c r="F438" s="14"/>
    </row>
    <row r="439">
      <c r="D439" s="14"/>
      <c r="F439" s="14"/>
    </row>
    <row r="440">
      <c r="D440" s="14"/>
      <c r="F440" s="14"/>
    </row>
    <row r="441">
      <c r="D441" s="14"/>
      <c r="F441" s="14"/>
    </row>
    <row r="442">
      <c r="D442" s="14"/>
      <c r="F442" s="14"/>
    </row>
    <row r="443">
      <c r="D443" s="14"/>
      <c r="F443" s="14"/>
    </row>
    <row r="444">
      <c r="D444" s="14"/>
      <c r="F444" s="14"/>
    </row>
    <row r="445">
      <c r="D445" s="14"/>
      <c r="F445" s="14"/>
    </row>
    <row r="446">
      <c r="D446" s="14"/>
      <c r="F446" s="14"/>
    </row>
    <row r="447">
      <c r="D447" s="14"/>
      <c r="F447" s="14"/>
    </row>
    <row r="448">
      <c r="D448" s="14"/>
      <c r="F448" s="14"/>
    </row>
    <row r="449">
      <c r="D449" s="14"/>
      <c r="F449" s="14"/>
    </row>
    <row r="450">
      <c r="D450" s="14"/>
      <c r="F450" s="14"/>
    </row>
    <row r="451">
      <c r="D451" s="14"/>
      <c r="F451" s="14"/>
    </row>
    <row r="452">
      <c r="D452" s="14"/>
      <c r="F452" s="14"/>
    </row>
    <row r="453">
      <c r="D453" s="14"/>
      <c r="F453" s="14"/>
    </row>
    <row r="454">
      <c r="D454" s="14"/>
      <c r="F454" s="14"/>
    </row>
    <row r="455">
      <c r="D455" s="14"/>
      <c r="F455" s="14"/>
    </row>
    <row r="456">
      <c r="D456" s="14"/>
      <c r="F456" s="14"/>
    </row>
    <row r="457">
      <c r="D457" s="14"/>
      <c r="F457" s="14"/>
    </row>
    <row r="458">
      <c r="D458" s="14"/>
      <c r="F458" s="14"/>
    </row>
    <row r="459">
      <c r="D459" s="14"/>
      <c r="F459" s="14"/>
    </row>
    <row r="460">
      <c r="D460" s="14"/>
      <c r="F460" s="14"/>
    </row>
    <row r="461">
      <c r="D461" s="14"/>
      <c r="F461" s="14"/>
    </row>
    <row r="462">
      <c r="D462" s="14"/>
      <c r="F462" s="14"/>
    </row>
    <row r="463">
      <c r="D463" s="14"/>
      <c r="F463" s="14"/>
    </row>
    <row r="464">
      <c r="D464" s="14"/>
      <c r="F464" s="14"/>
    </row>
    <row r="465">
      <c r="D465" s="14"/>
      <c r="F465" s="14"/>
    </row>
    <row r="466">
      <c r="D466" s="14"/>
      <c r="F466" s="14"/>
    </row>
    <row r="467">
      <c r="D467" s="14"/>
      <c r="F467" s="14"/>
    </row>
    <row r="468">
      <c r="D468" s="14"/>
      <c r="F468" s="14"/>
    </row>
    <row r="469">
      <c r="D469" s="14"/>
      <c r="F469" s="14"/>
    </row>
    <row r="470">
      <c r="D470" s="14"/>
      <c r="F470" s="14"/>
    </row>
    <row r="471">
      <c r="D471" s="14"/>
      <c r="F471" s="14"/>
    </row>
    <row r="472">
      <c r="D472" s="14"/>
      <c r="F472" s="14"/>
    </row>
    <row r="473">
      <c r="D473" s="14"/>
      <c r="F473" s="14"/>
    </row>
    <row r="474">
      <c r="D474" s="14"/>
      <c r="F474" s="14"/>
    </row>
    <row r="475">
      <c r="D475" s="14"/>
      <c r="F475" s="14"/>
    </row>
    <row r="476">
      <c r="D476" s="14"/>
      <c r="F476" s="14"/>
    </row>
    <row r="477">
      <c r="D477" s="14"/>
      <c r="F477" s="14"/>
    </row>
    <row r="478">
      <c r="D478" s="14"/>
      <c r="F478" s="14"/>
    </row>
    <row r="479">
      <c r="D479" s="14"/>
      <c r="F479" s="14"/>
    </row>
    <row r="480">
      <c r="D480" s="14"/>
      <c r="F480" s="14"/>
    </row>
    <row r="481">
      <c r="D481" s="14"/>
      <c r="F481" s="14"/>
    </row>
    <row r="482">
      <c r="D482" s="14"/>
      <c r="F482" s="14"/>
    </row>
    <row r="483">
      <c r="D483" s="14"/>
      <c r="F483" s="14"/>
    </row>
    <row r="484">
      <c r="D484" s="14"/>
      <c r="F484" s="14"/>
    </row>
    <row r="485">
      <c r="D485" s="14"/>
      <c r="F485" s="14"/>
    </row>
    <row r="486">
      <c r="D486" s="14"/>
      <c r="F486" s="14"/>
    </row>
    <row r="487">
      <c r="D487" s="14"/>
      <c r="F487" s="14"/>
    </row>
    <row r="488">
      <c r="D488" s="14"/>
      <c r="F488" s="14"/>
    </row>
    <row r="489">
      <c r="D489" s="14"/>
      <c r="F489" s="14"/>
    </row>
    <row r="490">
      <c r="D490" s="14"/>
      <c r="F490" s="14"/>
    </row>
    <row r="491">
      <c r="D491" s="14"/>
      <c r="F491" s="14"/>
    </row>
    <row r="492">
      <c r="D492" s="14"/>
      <c r="F492" s="14"/>
    </row>
    <row r="493">
      <c r="D493" s="14"/>
      <c r="F493" s="14"/>
    </row>
    <row r="494">
      <c r="D494" s="14"/>
      <c r="F494" s="14"/>
    </row>
    <row r="495">
      <c r="D495" s="14"/>
      <c r="F495" s="14"/>
    </row>
    <row r="496">
      <c r="D496" s="14"/>
      <c r="F496" s="14"/>
    </row>
    <row r="497">
      <c r="D497" s="14"/>
      <c r="F497" s="14"/>
    </row>
    <row r="498">
      <c r="D498" s="14"/>
      <c r="F498" s="14"/>
    </row>
    <row r="499">
      <c r="D499" s="14"/>
      <c r="F499" s="14"/>
    </row>
    <row r="500">
      <c r="D500" s="14"/>
      <c r="F500" s="14"/>
    </row>
    <row r="501">
      <c r="D501" s="14"/>
      <c r="F501" s="14"/>
    </row>
    <row r="502">
      <c r="D502" s="14"/>
      <c r="F502" s="14"/>
    </row>
    <row r="503">
      <c r="D503" s="14"/>
      <c r="F503" s="14"/>
    </row>
    <row r="504">
      <c r="D504" s="14"/>
      <c r="F504" s="14"/>
    </row>
    <row r="505">
      <c r="D505" s="14"/>
      <c r="F505" s="14"/>
    </row>
    <row r="506">
      <c r="D506" s="14"/>
      <c r="F506" s="14"/>
    </row>
    <row r="507">
      <c r="D507" s="14"/>
      <c r="F507" s="14"/>
    </row>
    <row r="508">
      <c r="D508" s="14"/>
      <c r="F508" s="14"/>
    </row>
    <row r="509">
      <c r="D509" s="14"/>
      <c r="F509" s="14"/>
    </row>
    <row r="510">
      <c r="D510" s="14"/>
      <c r="F510" s="14"/>
    </row>
    <row r="511">
      <c r="D511" s="14"/>
      <c r="F511" s="14"/>
    </row>
    <row r="512">
      <c r="D512" s="14"/>
      <c r="F512" s="14"/>
    </row>
    <row r="513">
      <c r="D513" s="14"/>
      <c r="F513" s="14"/>
    </row>
    <row r="514">
      <c r="D514" s="14"/>
      <c r="F514" s="14"/>
    </row>
    <row r="515">
      <c r="D515" s="14"/>
      <c r="F515" s="14"/>
    </row>
    <row r="516">
      <c r="D516" s="14"/>
      <c r="F516" s="14"/>
    </row>
    <row r="517">
      <c r="D517" s="14"/>
      <c r="F517" s="14"/>
    </row>
    <row r="518">
      <c r="D518" s="14"/>
      <c r="F518" s="14"/>
    </row>
    <row r="519">
      <c r="D519" s="14"/>
      <c r="F519" s="14"/>
    </row>
    <row r="520">
      <c r="D520" s="14"/>
      <c r="F520" s="14"/>
    </row>
    <row r="521">
      <c r="D521" s="14"/>
      <c r="F521" s="14"/>
    </row>
    <row r="522">
      <c r="D522" s="14"/>
      <c r="F522" s="14"/>
    </row>
    <row r="523">
      <c r="D523" s="14"/>
      <c r="F523" s="14"/>
    </row>
    <row r="524">
      <c r="D524" s="14"/>
      <c r="F524" s="14"/>
    </row>
    <row r="525">
      <c r="D525" s="14"/>
      <c r="F525" s="14"/>
    </row>
    <row r="526">
      <c r="D526" s="14"/>
      <c r="F526" s="14"/>
    </row>
    <row r="527">
      <c r="D527" s="14"/>
      <c r="F527" s="14"/>
    </row>
    <row r="528">
      <c r="D528" s="14"/>
      <c r="F528" s="14"/>
    </row>
    <row r="529">
      <c r="D529" s="14"/>
      <c r="F529" s="14"/>
    </row>
    <row r="530">
      <c r="D530" s="14"/>
      <c r="F530" s="14"/>
    </row>
    <row r="531">
      <c r="D531" s="14"/>
      <c r="F531" s="14"/>
    </row>
    <row r="532">
      <c r="D532" s="14"/>
      <c r="F532" s="14"/>
    </row>
    <row r="533">
      <c r="D533" s="14"/>
      <c r="F533" s="14"/>
    </row>
    <row r="534">
      <c r="D534" s="14"/>
      <c r="F534" s="14"/>
    </row>
    <row r="535">
      <c r="D535" s="14"/>
      <c r="F535" s="14"/>
    </row>
    <row r="536">
      <c r="D536" s="14"/>
      <c r="F536" s="14"/>
    </row>
    <row r="537">
      <c r="D537" s="14"/>
      <c r="F537" s="14"/>
    </row>
    <row r="538">
      <c r="D538" s="14"/>
      <c r="F538" s="14"/>
    </row>
    <row r="539">
      <c r="D539" s="14"/>
      <c r="F539" s="14"/>
    </row>
    <row r="540">
      <c r="D540" s="14"/>
      <c r="F540" s="14"/>
    </row>
    <row r="541">
      <c r="D541" s="14"/>
      <c r="F541" s="14"/>
    </row>
    <row r="542">
      <c r="D542" s="14"/>
      <c r="F542" s="14"/>
    </row>
    <row r="543">
      <c r="D543" s="14"/>
      <c r="F543" s="14"/>
    </row>
    <row r="544">
      <c r="D544" s="14"/>
      <c r="F544" s="14"/>
    </row>
    <row r="545">
      <c r="D545" s="14"/>
      <c r="F545" s="14"/>
    </row>
    <row r="546">
      <c r="D546" s="14"/>
      <c r="F546" s="14"/>
    </row>
    <row r="547">
      <c r="D547" s="14"/>
      <c r="F547" s="14"/>
    </row>
    <row r="548">
      <c r="D548" s="14"/>
      <c r="F548" s="14"/>
    </row>
    <row r="549">
      <c r="D549" s="14"/>
      <c r="F549" s="14"/>
    </row>
    <row r="550">
      <c r="D550" s="14"/>
      <c r="F550" s="14"/>
    </row>
    <row r="551">
      <c r="D551" s="14"/>
      <c r="F551" s="14"/>
    </row>
    <row r="552">
      <c r="D552" s="14"/>
      <c r="F552" s="14"/>
    </row>
    <row r="553">
      <c r="D553" s="14"/>
      <c r="F553" s="14"/>
    </row>
    <row r="554">
      <c r="D554" s="14"/>
      <c r="F554" s="14"/>
    </row>
    <row r="555">
      <c r="D555" s="14"/>
      <c r="F555" s="14"/>
    </row>
    <row r="556">
      <c r="D556" s="14"/>
      <c r="F556" s="14"/>
    </row>
    <row r="557">
      <c r="D557" s="14"/>
      <c r="F557" s="14"/>
    </row>
    <row r="558">
      <c r="D558" s="14"/>
      <c r="F558" s="14"/>
    </row>
    <row r="559">
      <c r="D559" s="14"/>
      <c r="F559" s="14"/>
    </row>
    <row r="560">
      <c r="D560" s="14"/>
      <c r="F560" s="14"/>
    </row>
    <row r="561">
      <c r="D561" s="14"/>
      <c r="F561" s="14"/>
    </row>
    <row r="562">
      <c r="D562" s="14"/>
      <c r="F562" s="14"/>
    </row>
    <row r="563">
      <c r="D563" s="14"/>
      <c r="F563" s="14"/>
    </row>
    <row r="564">
      <c r="D564" s="14"/>
      <c r="F564" s="14"/>
    </row>
    <row r="565">
      <c r="D565" s="14"/>
      <c r="F565" s="14"/>
    </row>
    <row r="566">
      <c r="D566" s="14"/>
      <c r="F566" s="14"/>
    </row>
    <row r="567">
      <c r="D567" s="14"/>
      <c r="F567" s="14"/>
    </row>
    <row r="568">
      <c r="D568" s="14"/>
      <c r="F568" s="14"/>
    </row>
    <row r="569">
      <c r="D569" s="14"/>
      <c r="F569" s="14"/>
    </row>
    <row r="570">
      <c r="D570" s="14"/>
      <c r="F570" s="14"/>
    </row>
    <row r="571">
      <c r="D571" s="14"/>
      <c r="F571" s="14"/>
    </row>
    <row r="572">
      <c r="D572" s="14"/>
      <c r="F572" s="14"/>
    </row>
    <row r="573">
      <c r="D573" s="14"/>
      <c r="F573" s="14"/>
    </row>
    <row r="574">
      <c r="D574" s="14"/>
      <c r="F574" s="14"/>
    </row>
    <row r="575">
      <c r="D575" s="14"/>
      <c r="F575" s="14"/>
    </row>
    <row r="576">
      <c r="D576" s="14"/>
      <c r="F576" s="14"/>
    </row>
    <row r="577">
      <c r="D577" s="14"/>
      <c r="F577" s="14"/>
    </row>
    <row r="578">
      <c r="D578" s="14"/>
      <c r="F578" s="14"/>
    </row>
    <row r="579">
      <c r="D579" s="14"/>
      <c r="F579" s="14"/>
    </row>
    <row r="580">
      <c r="D580" s="14"/>
      <c r="F580" s="14"/>
    </row>
    <row r="581">
      <c r="D581" s="14"/>
      <c r="F581" s="14"/>
    </row>
    <row r="582">
      <c r="D582" s="14"/>
      <c r="F582" s="14"/>
    </row>
    <row r="583">
      <c r="D583" s="14"/>
      <c r="F583" s="14"/>
    </row>
    <row r="584">
      <c r="D584" s="14"/>
      <c r="F584" s="14"/>
    </row>
    <row r="585">
      <c r="D585" s="14"/>
      <c r="F585" s="14"/>
    </row>
    <row r="586">
      <c r="D586" s="14"/>
      <c r="F586" s="14"/>
    </row>
    <row r="587">
      <c r="D587" s="14"/>
      <c r="F587" s="14"/>
    </row>
    <row r="588">
      <c r="D588" s="14"/>
      <c r="F588" s="14"/>
    </row>
    <row r="589">
      <c r="D589" s="14"/>
      <c r="F589" s="14"/>
    </row>
    <row r="590">
      <c r="D590" s="14"/>
      <c r="F590" s="14"/>
    </row>
    <row r="591">
      <c r="D591" s="14"/>
      <c r="F591" s="14"/>
    </row>
    <row r="592">
      <c r="D592" s="14"/>
      <c r="F592" s="14"/>
    </row>
    <row r="593">
      <c r="D593" s="14"/>
      <c r="F593" s="14"/>
    </row>
    <row r="594">
      <c r="D594" s="14"/>
      <c r="F594" s="14"/>
    </row>
    <row r="595">
      <c r="D595" s="14"/>
      <c r="F595" s="14"/>
    </row>
    <row r="596">
      <c r="D596" s="14"/>
      <c r="F596" s="14"/>
    </row>
    <row r="597">
      <c r="D597" s="14"/>
      <c r="F597" s="14"/>
    </row>
    <row r="598">
      <c r="D598" s="14"/>
      <c r="F598" s="14"/>
    </row>
    <row r="599">
      <c r="D599" s="14"/>
      <c r="F599" s="14"/>
    </row>
    <row r="600">
      <c r="D600" s="14"/>
      <c r="F600" s="14"/>
    </row>
    <row r="601">
      <c r="D601" s="14"/>
      <c r="F601" s="14"/>
    </row>
    <row r="602">
      <c r="D602" s="14"/>
      <c r="F602" s="14"/>
    </row>
    <row r="603">
      <c r="D603" s="14"/>
      <c r="F603" s="14"/>
    </row>
    <row r="604">
      <c r="D604" s="14"/>
      <c r="F604" s="14"/>
    </row>
    <row r="605">
      <c r="D605" s="14"/>
      <c r="F605" s="14"/>
    </row>
    <row r="606">
      <c r="D606" s="14"/>
      <c r="F606" s="14"/>
    </row>
    <row r="607">
      <c r="D607" s="14"/>
      <c r="F607" s="14"/>
    </row>
    <row r="608">
      <c r="D608" s="14"/>
      <c r="F608" s="14"/>
    </row>
    <row r="609">
      <c r="D609" s="14"/>
      <c r="F609" s="14"/>
    </row>
    <row r="610">
      <c r="D610" s="14"/>
      <c r="F610" s="14"/>
    </row>
    <row r="611">
      <c r="D611" s="14"/>
      <c r="F611" s="14"/>
    </row>
    <row r="612">
      <c r="D612" s="14"/>
      <c r="F612" s="14"/>
    </row>
    <row r="613">
      <c r="D613" s="14"/>
      <c r="F613" s="14"/>
    </row>
    <row r="614">
      <c r="D614" s="14"/>
      <c r="F614" s="14"/>
    </row>
    <row r="615">
      <c r="D615" s="14"/>
      <c r="F615" s="14"/>
    </row>
    <row r="616">
      <c r="D616" s="14"/>
      <c r="F616" s="14"/>
    </row>
    <row r="617">
      <c r="D617" s="14"/>
      <c r="F617" s="14"/>
    </row>
    <row r="618">
      <c r="D618" s="14"/>
      <c r="F618" s="14"/>
    </row>
    <row r="619">
      <c r="D619" s="14"/>
      <c r="F619" s="14"/>
    </row>
    <row r="620">
      <c r="D620" s="14"/>
      <c r="F620" s="14"/>
    </row>
    <row r="621">
      <c r="D621" s="14"/>
      <c r="F621" s="14"/>
    </row>
    <row r="622">
      <c r="D622" s="14"/>
      <c r="F622" s="14"/>
    </row>
    <row r="623">
      <c r="D623" s="14"/>
      <c r="F623" s="14"/>
    </row>
    <row r="624">
      <c r="D624" s="14"/>
      <c r="F624" s="14"/>
    </row>
    <row r="625">
      <c r="D625" s="14"/>
      <c r="F625" s="14"/>
    </row>
    <row r="626">
      <c r="D626" s="14"/>
      <c r="F626" s="14"/>
    </row>
    <row r="627">
      <c r="D627" s="14"/>
      <c r="F627" s="14"/>
    </row>
    <row r="628">
      <c r="D628" s="14"/>
      <c r="F628" s="14"/>
    </row>
    <row r="629">
      <c r="D629" s="14"/>
      <c r="F629" s="14"/>
    </row>
    <row r="630">
      <c r="D630" s="14"/>
      <c r="F630" s="14"/>
    </row>
    <row r="631">
      <c r="D631" s="14"/>
      <c r="F631" s="14"/>
    </row>
    <row r="632">
      <c r="D632" s="14"/>
      <c r="F632" s="14"/>
    </row>
    <row r="633">
      <c r="D633" s="14"/>
      <c r="F633" s="14"/>
    </row>
    <row r="634">
      <c r="D634" s="14"/>
      <c r="F634" s="14"/>
    </row>
    <row r="635">
      <c r="D635" s="14"/>
      <c r="F635" s="14"/>
    </row>
    <row r="636">
      <c r="D636" s="14"/>
      <c r="F636" s="14"/>
    </row>
    <row r="637">
      <c r="D637" s="14"/>
      <c r="F637" s="14"/>
    </row>
    <row r="638">
      <c r="D638" s="14"/>
      <c r="F638" s="14"/>
    </row>
    <row r="639">
      <c r="D639" s="14"/>
      <c r="F639" s="14"/>
    </row>
    <row r="640">
      <c r="D640" s="14"/>
      <c r="F640" s="14"/>
    </row>
    <row r="641">
      <c r="D641" s="14"/>
      <c r="F641" s="14"/>
    </row>
    <row r="642">
      <c r="D642" s="14"/>
      <c r="F642" s="14"/>
    </row>
    <row r="643">
      <c r="D643" s="14"/>
      <c r="F643" s="14"/>
    </row>
    <row r="644">
      <c r="D644" s="14"/>
      <c r="F644" s="14"/>
    </row>
    <row r="645">
      <c r="D645" s="14"/>
      <c r="F645" s="14"/>
    </row>
    <row r="646">
      <c r="D646" s="14"/>
      <c r="F646" s="14"/>
    </row>
    <row r="647">
      <c r="D647" s="14"/>
      <c r="F647" s="14"/>
    </row>
    <row r="648">
      <c r="D648" s="14"/>
      <c r="F648" s="14"/>
    </row>
    <row r="649">
      <c r="D649" s="14"/>
      <c r="F649" s="14"/>
    </row>
    <row r="650">
      <c r="D650" s="14"/>
      <c r="F650" s="14"/>
    </row>
    <row r="651">
      <c r="D651" s="14"/>
      <c r="F651" s="14"/>
    </row>
    <row r="652">
      <c r="D652" s="14"/>
      <c r="F652" s="14"/>
    </row>
    <row r="653">
      <c r="D653" s="14"/>
      <c r="F653" s="14"/>
    </row>
    <row r="654">
      <c r="D654" s="14"/>
      <c r="F654" s="14"/>
    </row>
    <row r="655">
      <c r="D655" s="14"/>
      <c r="F655" s="14"/>
    </row>
    <row r="656">
      <c r="D656" s="14"/>
      <c r="F656" s="14"/>
    </row>
    <row r="657">
      <c r="D657" s="14"/>
      <c r="F657" s="14"/>
    </row>
    <row r="658">
      <c r="D658" s="14"/>
      <c r="F658" s="14"/>
    </row>
    <row r="659">
      <c r="D659" s="14"/>
      <c r="F659" s="14"/>
    </row>
    <row r="660">
      <c r="D660" s="14"/>
      <c r="F660" s="14"/>
    </row>
    <row r="661">
      <c r="D661" s="14"/>
      <c r="F661" s="14"/>
    </row>
    <row r="662">
      <c r="D662" s="14"/>
      <c r="F662" s="14"/>
    </row>
    <row r="663">
      <c r="D663" s="14"/>
      <c r="F663" s="14"/>
    </row>
    <row r="664">
      <c r="D664" s="14"/>
      <c r="F664" s="14"/>
    </row>
    <row r="665">
      <c r="D665" s="14"/>
      <c r="F665" s="14"/>
    </row>
    <row r="666">
      <c r="D666" s="14"/>
      <c r="F666" s="14"/>
    </row>
    <row r="667">
      <c r="D667" s="14"/>
      <c r="F667" s="14"/>
    </row>
    <row r="668">
      <c r="D668" s="14"/>
      <c r="F668" s="14"/>
    </row>
    <row r="669">
      <c r="D669" s="14"/>
      <c r="F669" s="14"/>
    </row>
    <row r="670">
      <c r="D670" s="14"/>
      <c r="F670" s="14"/>
    </row>
    <row r="671">
      <c r="D671" s="14"/>
      <c r="F671" s="14"/>
    </row>
    <row r="672">
      <c r="D672" s="14"/>
      <c r="F672" s="14"/>
    </row>
    <row r="673">
      <c r="D673" s="14"/>
      <c r="F673" s="14"/>
    </row>
    <row r="674">
      <c r="D674" s="14"/>
      <c r="F674" s="14"/>
    </row>
    <row r="675">
      <c r="D675" s="14"/>
      <c r="F675" s="14"/>
    </row>
    <row r="676">
      <c r="D676" s="14"/>
      <c r="F676" s="14"/>
    </row>
    <row r="677">
      <c r="D677" s="14"/>
      <c r="F677" s="14"/>
    </row>
    <row r="678">
      <c r="D678" s="14"/>
      <c r="F678" s="14"/>
    </row>
    <row r="679">
      <c r="D679" s="14"/>
      <c r="F679" s="14"/>
    </row>
    <row r="680">
      <c r="D680" s="14"/>
      <c r="F680" s="14"/>
    </row>
    <row r="681">
      <c r="D681" s="14"/>
      <c r="F681" s="14"/>
    </row>
    <row r="682">
      <c r="D682" s="14"/>
      <c r="F682" s="14"/>
    </row>
    <row r="683">
      <c r="D683" s="14"/>
      <c r="F683" s="14"/>
    </row>
    <row r="684">
      <c r="D684" s="14"/>
      <c r="F684" s="14"/>
    </row>
    <row r="685">
      <c r="D685" s="14"/>
      <c r="F685" s="14"/>
    </row>
    <row r="686">
      <c r="D686" s="14"/>
      <c r="F686" s="14"/>
    </row>
    <row r="687">
      <c r="D687" s="14"/>
      <c r="F687" s="14"/>
    </row>
    <row r="688">
      <c r="D688" s="14"/>
      <c r="F688" s="14"/>
    </row>
    <row r="689">
      <c r="D689" s="14"/>
      <c r="F689" s="14"/>
    </row>
    <row r="690">
      <c r="D690" s="14"/>
      <c r="F690" s="14"/>
    </row>
    <row r="691">
      <c r="D691" s="14"/>
      <c r="F691" s="14"/>
    </row>
    <row r="692">
      <c r="D692" s="14"/>
      <c r="F692" s="14"/>
    </row>
    <row r="693">
      <c r="D693" s="14"/>
      <c r="F693" s="14"/>
    </row>
    <row r="694">
      <c r="D694" s="14"/>
      <c r="F694" s="14"/>
    </row>
    <row r="695">
      <c r="D695" s="14"/>
      <c r="F695" s="14"/>
    </row>
    <row r="696">
      <c r="D696" s="14"/>
      <c r="F696" s="14"/>
    </row>
    <row r="697">
      <c r="D697" s="14"/>
      <c r="F697" s="14"/>
    </row>
    <row r="698">
      <c r="D698" s="14"/>
      <c r="F698" s="14"/>
    </row>
    <row r="699">
      <c r="D699" s="14"/>
      <c r="F699" s="14"/>
    </row>
    <row r="700">
      <c r="D700" s="14"/>
      <c r="F700" s="14"/>
    </row>
    <row r="701">
      <c r="D701" s="14"/>
      <c r="F701" s="14"/>
    </row>
    <row r="702">
      <c r="D702" s="14"/>
      <c r="F702" s="14"/>
    </row>
    <row r="703">
      <c r="D703" s="14"/>
      <c r="F703" s="14"/>
    </row>
    <row r="704">
      <c r="D704" s="14"/>
      <c r="F704" s="14"/>
    </row>
    <row r="705">
      <c r="D705" s="14"/>
      <c r="F705" s="14"/>
    </row>
    <row r="706">
      <c r="D706" s="14"/>
      <c r="F706" s="14"/>
    </row>
    <row r="707">
      <c r="D707" s="14"/>
      <c r="F707" s="14"/>
    </row>
    <row r="708">
      <c r="D708" s="14"/>
      <c r="F708" s="14"/>
    </row>
    <row r="709">
      <c r="D709" s="14"/>
      <c r="F709" s="14"/>
    </row>
    <row r="710">
      <c r="D710" s="14"/>
      <c r="F710" s="14"/>
    </row>
    <row r="711">
      <c r="D711" s="14"/>
      <c r="F711" s="14"/>
    </row>
    <row r="712">
      <c r="D712" s="14"/>
      <c r="F712" s="14"/>
    </row>
    <row r="713">
      <c r="D713" s="14"/>
      <c r="F713" s="14"/>
    </row>
    <row r="714">
      <c r="D714" s="14"/>
      <c r="F714" s="14"/>
    </row>
    <row r="715">
      <c r="D715" s="14"/>
      <c r="F715" s="14"/>
    </row>
    <row r="716">
      <c r="D716" s="14"/>
      <c r="F716" s="14"/>
    </row>
    <row r="717">
      <c r="D717" s="14"/>
      <c r="F717" s="14"/>
    </row>
    <row r="718">
      <c r="D718" s="14"/>
      <c r="F718" s="14"/>
    </row>
    <row r="719">
      <c r="D719" s="14"/>
      <c r="F719" s="14"/>
    </row>
    <row r="720">
      <c r="D720" s="14"/>
      <c r="F720" s="14"/>
    </row>
    <row r="721">
      <c r="D721" s="14"/>
      <c r="F721" s="14"/>
    </row>
    <row r="722">
      <c r="D722" s="14"/>
      <c r="F722" s="14"/>
    </row>
    <row r="723">
      <c r="D723" s="14"/>
      <c r="F723" s="14"/>
    </row>
    <row r="724">
      <c r="D724" s="14"/>
      <c r="F724" s="14"/>
    </row>
    <row r="725">
      <c r="D725" s="14"/>
      <c r="F725" s="14"/>
    </row>
    <row r="726">
      <c r="D726" s="14"/>
      <c r="F726" s="14"/>
    </row>
    <row r="727">
      <c r="D727" s="14"/>
      <c r="F727" s="14"/>
    </row>
    <row r="728">
      <c r="D728" s="14"/>
      <c r="F728" s="14"/>
    </row>
    <row r="729">
      <c r="D729" s="14"/>
      <c r="F729" s="14"/>
    </row>
    <row r="730">
      <c r="D730" s="14"/>
      <c r="F730" s="14"/>
    </row>
    <row r="731">
      <c r="D731" s="14"/>
      <c r="F731" s="14"/>
    </row>
    <row r="732">
      <c r="D732" s="14"/>
      <c r="F732" s="14"/>
    </row>
    <row r="733">
      <c r="D733" s="14"/>
      <c r="F733" s="14"/>
    </row>
    <row r="734">
      <c r="D734" s="14"/>
      <c r="F734" s="14"/>
    </row>
    <row r="735">
      <c r="D735" s="14"/>
      <c r="F735" s="14"/>
    </row>
    <row r="736">
      <c r="D736" s="14"/>
      <c r="F736" s="14"/>
    </row>
    <row r="737">
      <c r="D737" s="14"/>
      <c r="F737" s="14"/>
    </row>
    <row r="738">
      <c r="D738" s="14"/>
      <c r="F738" s="14"/>
    </row>
    <row r="739">
      <c r="D739" s="14"/>
      <c r="F739" s="14"/>
    </row>
    <row r="740">
      <c r="D740" s="14"/>
      <c r="F740" s="14"/>
    </row>
    <row r="741">
      <c r="D741" s="14"/>
      <c r="F741" s="14"/>
    </row>
    <row r="742">
      <c r="D742" s="14"/>
      <c r="F742" s="14"/>
    </row>
    <row r="743">
      <c r="D743" s="14"/>
      <c r="F743" s="14"/>
    </row>
    <row r="744">
      <c r="D744" s="14"/>
      <c r="F744" s="14"/>
    </row>
    <row r="745">
      <c r="D745" s="14"/>
      <c r="F745" s="14"/>
    </row>
    <row r="746">
      <c r="D746" s="14"/>
      <c r="F746" s="14"/>
    </row>
    <row r="747">
      <c r="D747" s="14"/>
      <c r="F747" s="14"/>
    </row>
    <row r="748">
      <c r="D748" s="14"/>
      <c r="F748" s="14"/>
    </row>
    <row r="749">
      <c r="D749" s="14"/>
      <c r="F749" s="14"/>
    </row>
    <row r="750">
      <c r="D750" s="14"/>
      <c r="F750" s="14"/>
    </row>
    <row r="751">
      <c r="D751" s="14"/>
      <c r="F751" s="14"/>
    </row>
    <row r="752">
      <c r="D752" s="14"/>
      <c r="F752" s="14"/>
    </row>
    <row r="753">
      <c r="D753" s="14"/>
      <c r="F753" s="14"/>
    </row>
    <row r="754">
      <c r="D754" s="14"/>
      <c r="F754" s="14"/>
    </row>
    <row r="755">
      <c r="D755" s="14"/>
      <c r="F755" s="14"/>
    </row>
    <row r="756">
      <c r="D756" s="14"/>
      <c r="F756" s="14"/>
    </row>
    <row r="757">
      <c r="D757" s="14"/>
      <c r="F757" s="14"/>
    </row>
    <row r="758">
      <c r="D758" s="14"/>
      <c r="F758" s="14"/>
    </row>
    <row r="759">
      <c r="D759" s="14"/>
      <c r="F759" s="14"/>
    </row>
    <row r="760">
      <c r="D760" s="14"/>
      <c r="F760" s="14"/>
    </row>
    <row r="761">
      <c r="D761" s="14"/>
      <c r="F761" s="14"/>
    </row>
    <row r="762">
      <c r="D762" s="14"/>
      <c r="F762" s="14"/>
    </row>
    <row r="763">
      <c r="D763" s="14"/>
      <c r="F763" s="14"/>
    </row>
    <row r="764">
      <c r="D764" s="14"/>
      <c r="F764" s="14"/>
    </row>
    <row r="765">
      <c r="D765" s="14"/>
      <c r="F765" s="14"/>
    </row>
    <row r="766">
      <c r="D766" s="14"/>
      <c r="F766" s="14"/>
    </row>
    <row r="767">
      <c r="D767" s="14"/>
      <c r="F767" s="14"/>
    </row>
    <row r="768">
      <c r="D768" s="14"/>
      <c r="F768" s="14"/>
    </row>
    <row r="769">
      <c r="D769" s="14"/>
      <c r="F769" s="14"/>
    </row>
    <row r="770">
      <c r="D770" s="14"/>
      <c r="F770" s="14"/>
    </row>
    <row r="771">
      <c r="D771" s="14"/>
      <c r="F771" s="14"/>
    </row>
    <row r="772">
      <c r="D772" s="14"/>
      <c r="F772" s="14"/>
    </row>
    <row r="773">
      <c r="D773" s="14"/>
      <c r="F773" s="14"/>
    </row>
    <row r="774">
      <c r="D774" s="14"/>
      <c r="F774" s="14"/>
    </row>
    <row r="775">
      <c r="D775" s="14"/>
      <c r="F775" s="14"/>
    </row>
    <row r="776">
      <c r="D776" s="14"/>
      <c r="F776" s="14"/>
    </row>
    <row r="777">
      <c r="D777" s="14"/>
      <c r="F777" s="14"/>
    </row>
    <row r="778">
      <c r="D778" s="14"/>
      <c r="F778" s="14"/>
    </row>
    <row r="779">
      <c r="D779" s="14"/>
      <c r="F779" s="14"/>
    </row>
    <row r="780">
      <c r="D780" s="14"/>
      <c r="F780" s="14"/>
    </row>
    <row r="781">
      <c r="D781" s="14"/>
      <c r="F781" s="14"/>
    </row>
    <row r="782">
      <c r="D782" s="14"/>
      <c r="F782" s="14"/>
    </row>
    <row r="783">
      <c r="D783" s="14"/>
      <c r="F783" s="14"/>
    </row>
    <row r="784">
      <c r="D784" s="14"/>
      <c r="F784" s="14"/>
    </row>
    <row r="785">
      <c r="D785" s="14"/>
      <c r="F785" s="14"/>
    </row>
    <row r="786">
      <c r="D786" s="14"/>
      <c r="F786" s="14"/>
    </row>
    <row r="787">
      <c r="D787" s="14"/>
      <c r="F787" s="14"/>
    </row>
    <row r="788">
      <c r="D788" s="14"/>
      <c r="F788" s="14"/>
    </row>
    <row r="789">
      <c r="D789" s="14"/>
      <c r="F789" s="14"/>
    </row>
    <row r="790">
      <c r="D790" s="14"/>
      <c r="F790" s="14"/>
    </row>
    <row r="791">
      <c r="D791" s="14"/>
      <c r="F791" s="14"/>
    </row>
    <row r="792">
      <c r="D792" s="14"/>
      <c r="F792" s="14"/>
    </row>
    <row r="793">
      <c r="D793" s="14"/>
      <c r="F793" s="14"/>
    </row>
    <row r="794">
      <c r="D794" s="14"/>
      <c r="F794" s="14"/>
    </row>
    <row r="795">
      <c r="D795" s="14"/>
      <c r="F795" s="14"/>
    </row>
    <row r="796">
      <c r="D796" s="14"/>
      <c r="F796" s="14"/>
    </row>
    <row r="797">
      <c r="D797" s="14"/>
      <c r="F797" s="14"/>
    </row>
    <row r="798">
      <c r="D798" s="14"/>
      <c r="F798" s="14"/>
    </row>
    <row r="799">
      <c r="D799" s="14"/>
      <c r="F799" s="14"/>
    </row>
    <row r="800">
      <c r="D800" s="14"/>
      <c r="F800" s="14"/>
    </row>
    <row r="801">
      <c r="D801" s="14"/>
      <c r="F801" s="14"/>
    </row>
    <row r="802">
      <c r="D802" s="14"/>
      <c r="F802" s="14"/>
    </row>
    <row r="803">
      <c r="D803" s="14"/>
      <c r="F803" s="14"/>
    </row>
    <row r="804">
      <c r="D804" s="14"/>
      <c r="F804" s="14"/>
    </row>
    <row r="805">
      <c r="D805" s="14"/>
      <c r="F805" s="14"/>
    </row>
    <row r="806">
      <c r="D806" s="14"/>
      <c r="F806" s="14"/>
    </row>
    <row r="807">
      <c r="D807" s="14"/>
      <c r="F807" s="14"/>
    </row>
    <row r="808">
      <c r="D808" s="14"/>
      <c r="F808" s="14"/>
    </row>
    <row r="809">
      <c r="D809" s="14"/>
      <c r="F809" s="14"/>
    </row>
    <row r="810">
      <c r="D810" s="14"/>
      <c r="F810" s="14"/>
    </row>
    <row r="811">
      <c r="D811" s="14"/>
      <c r="F811" s="14"/>
    </row>
    <row r="812">
      <c r="D812" s="14"/>
      <c r="F812" s="14"/>
    </row>
    <row r="813">
      <c r="D813" s="14"/>
      <c r="F813" s="14"/>
    </row>
    <row r="814">
      <c r="D814" s="14"/>
      <c r="F814" s="14"/>
    </row>
    <row r="815">
      <c r="D815" s="14"/>
      <c r="F815" s="14"/>
    </row>
    <row r="816">
      <c r="D816" s="14"/>
      <c r="F816" s="14"/>
    </row>
    <row r="817">
      <c r="D817" s="14"/>
      <c r="F817" s="14"/>
    </row>
    <row r="818">
      <c r="D818" s="14"/>
      <c r="F818" s="14"/>
    </row>
    <row r="819">
      <c r="D819" s="14"/>
      <c r="F819" s="14"/>
    </row>
    <row r="820">
      <c r="D820" s="14"/>
      <c r="F820" s="14"/>
    </row>
    <row r="821">
      <c r="D821" s="14"/>
      <c r="F821" s="14"/>
    </row>
    <row r="822">
      <c r="D822" s="14"/>
      <c r="F822" s="14"/>
    </row>
    <row r="823">
      <c r="D823" s="14"/>
      <c r="F823" s="14"/>
    </row>
    <row r="824">
      <c r="D824" s="14"/>
      <c r="F824" s="14"/>
    </row>
    <row r="825">
      <c r="D825" s="14"/>
      <c r="F825" s="14"/>
    </row>
    <row r="826">
      <c r="D826" s="14"/>
      <c r="F826" s="14"/>
    </row>
    <row r="827">
      <c r="D827" s="14"/>
      <c r="F827" s="14"/>
    </row>
    <row r="828">
      <c r="D828" s="14"/>
      <c r="F828" s="14"/>
    </row>
    <row r="829">
      <c r="D829" s="14"/>
      <c r="F829" s="14"/>
    </row>
    <row r="830">
      <c r="D830" s="14"/>
      <c r="F830" s="14"/>
    </row>
    <row r="831">
      <c r="D831" s="14"/>
      <c r="F831" s="14"/>
    </row>
    <row r="832">
      <c r="D832" s="14"/>
      <c r="F832" s="14"/>
    </row>
    <row r="833">
      <c r="D833" s="14"/>
      <c r="F833" s="14"/>
    </row>
    <row r="834">
      <c r="D834" s="14"/>
      <c r="F834" s="14"/>
    </row>
    <row r="835">
      <c r="D835" s="14"/>
      <c r="F835" s="14"/>
    </row>
    <row r="836">
      <c r="D836" s="14"/>
      <c r="F836" s="14"/>
    </row>
    <row r="837">
      <c r="D837" s="14"/>
      <c r="F837" s="14"/>
    </row>
    <row r="838">
      <c r="D838" s="14"/>
      <c r="F838" s="14"/>
    </row>
    <row r="839">
      <c r="D839" s="14"/>
      <c r="F839" s="14"/>
    </row>
    <row r="840">
      <c r="D840" s="14"/>
      <c r="F840" s="14"/>
    </row>
    <row r="841">
      <c r="D841" s="14"/>
      <c r="F841" s="14"/>
    </row>
    <row r="842">
      <c r="D842" s="14"/>
      <c r="F842" s="14"/>
    </row>
    <row r="843">
      <c r="D843" s="14"/>
      <c r="F843" s="14"/>
    </row>
    <row r="844">
      <c r="D844" s="14"/>
      <c r="F844" s="14"/>
    </row>
    <row r="845">
      <c r="D845" s="14"/>
      <c r="F845" s="14"/>
    </row>
    <row r="846">
      <c r="D846" s="14"/>
      <c r="F846" s="14"/>
    </row>
    <row r="847">
      <c r="D847" s="14"/>
      <c r="F847" s="14"/>
    </row>
    <row r="848">
      <c r="D848" s="14"/>
      <c r="F848" s="14"/>
    </row>
    <row r="849">
      <c r="D849" s="14"/>
      <c r="F849" s="14"/>
    </row>
    <row r="850">
      <c r="D850" s="14"/>
      <c r="F850" s="14"/>
    </row>
    <row r="851">
      <c r="D851" s="14"/>
      <c r="F851" s="14"/>
    </row>
    <row r="852">
      <c r="D852" s="14"/>
      <c r="F852" s="14"/>
    </row>
    <row r="853">
      <c r="D853" s="14"/>
      <c r="F853" s="14"/>
    </row>
    <row r="854">
      <c r="D854" s="14"/>
      <c r="F854" s="14"/>
    </row>
    <row r="855">
      <c r="D855" s="14"/>
      <c r="F855" s="14"/>
    </row>
    <row r="856">
      <c r="D856" s="14"/>
      <c r="F856" s="14"/>
    </row>
    <row r="857">
      <c r="D857" s="14"/>
      <c r="F857" s="14"/>
    </row>
    <row r="858">
      <c r="D858" s="14"/>
      <c r="F858" s="14"/>
    </row>
    <row r="859">
      <c r="D859" s="14"/>
      <c r="F859" s="14"/>
    </row>
    <row r="860">
      <c r="D860" s="14"/>
      <c r="F860" s="14"/>
    </row>
    <row r="861">
      <c r="D861" s="14"/>
      <c r="F861" s="14"/>
    </row>
    <row r="862">
      <c r="D862" s="14"/>
      <c r="F862" s="14"/>
    </row>
    <row r="863">
      <c r="D863" s="14"/>
      <c r="F863" s="14"/>
    </row>
    <row r="864">
      <c r="D864" s="14"/>
      <c r="F864" s="14"/>
    </row>
    <row r="865">
      <c r="D865" s="14"/>
      <c r="F865" s="14"/>
    </row>
    <row r="866">
      <c r="D866" s="14"/>
      <c r="F866" s="14"/>
    </row>
    <row r="867">
      <c r="D867" s="14"/>
      <c r="F867" s="14"/>
    </row>
    <row r="868">
      <c r="D868" s="14"/>
      <c r="F868" s="14"/>
    </row>
    <row r="869">
      <c r="D869" s="14"/>
      <c r="F869" s="14"/>
    </row>
    <row r="870">
      <c r="D870" s="14"/>
      <c r="F870" s="14"/>
    </row>
    <row r="871">
      <c r="D871" s="14"/>
      <c r="F871" s="14"/>
    </row>
    <row r="872">
      <c r="D872" s="14"/>
      <c r="F872" s="14"/>
    </row>
    <row r="873">
      <c r="D873" s="14"/>
      <c r="F873" s="14"/>
    </row>
    <row r="874">
      <c r="D874" s="14"/>
      <c r="F874" s="14"/>
    </row>
    <row r="875">
      <c r="D875" s="14"/>
      <c r="F875" s="14"/>
    </row>
    <row r="876">
      <c r="D876" s="14"/>
      <c r="F876" s="14"/>
    </row>
    <row r="877">
      <c r="D877" s="14"/>
      <c r="F877" s="14"/>
    </row>
    <row r="878">
      <c r="D878" s="14"/>
      <c r="F878" s="14"/>
    </row>
    <row r="879">
      <c r="D879" s="14"/>
      <c r="F879" s="14"/>
    </row>
    <row r="880">
      <c r="D880" s="14"/>
      <c r="F880" s="14"/>
    </row>
    <row r="881">
      <c r="D881" s="14"/>
      <c r="F881" s="14"/>
    </row>
    <row r="882">
      <c r="D882" s="14"/>
      <c r="F882" s="14"/>
    </row>
    <row r="883">
      <c r="D883" s="14"/>
      <c r="F883" s="14"/>
    </row>
    <row r="884">
      <c r="D884" s="14"/>
      <c r="F884" s="14"/>
    </row>
    <row r="885">
      <c r="D885" s="14"/>
      <c r="F885" s="14"/>
    </row>
    <row r="886">
      <c r="D886" s="14"/>
      <c r="F886" s="14"/>
    </row>
    <row r="887">
      <c r="D887" s="14"/>
      <c r="F887" s="14"/>
    </row>
    <row r="888">
      <c r="D888" s="14"/>
      <c r="F888" s="14"/>
    </row>
    <row r="889">
      <c r="D889" s="14"/>
      <c r="F889" s="14"/>
    </row>
    <row r="890">
      <c r="D890" s="14"/>
      <c r="F890" s="14"/>
    </row>
    <row r="891">
      <c r="D891" s="14"/>
      <c r="F891" s="14"/>
    </row>
    <row r="892">
      <c r="D892" s="14"/>
      <c r="F892" s="14"/>
    </row>
    <row r="893">
      <c r="D893" s="14"/>
      <c r="F893" s="14"/>
    </row>
    <row r="894">
      <c r="D894" s="14"/>
      <c r="F894" s="14"/>
    </row>
    <row r="895">
      <c r="D895" s="14"/>
      <c r="F895" s="14"/>
    </row>
    <row r="896">
      <c r="D896" s="14"/>
      <c r="F896" s="14"/>
    </row>
    <row r="897">
      <c r="D897" s="14"/>
      <c r="F897" s="14"/>
    </row>
    <row r="898">
      <c r="D898" s="14"/>
      <c r="F898" s="14"/>
    </row>
    <row r="899">
      <c r="D899" s="14"/>
      <c r="F899" s="14"/>
    </row>
    <row r="900">
      <c r="D900" s="14"/>
      <c r="F900" s="14"/>
    </row>
    <row r="901">
      <c r="D901" s="14"/>
      <c r="F901" s="14"/>
    </row>
    <row r="902">
      <c r="D902" s="14"/>
      <c r="F902" s="14"/>
    </row>
    <row r="903">
      <c r="D903" s="14"/>
      <c r="F903" s="14"/>
    </row>
    <row r="904">
      <c r="D904" s="14"/>
      <c r="F904" s="14"/>
    </row>
    <row r="905">
      <c r="D905" s="14"/>
      <c r="F905" s="14"/>
    </row>
    <row r="906">
      <c r="D906" s="14"/>
      <c r="F906" s="14"/>
    </row>
    <row r="907">
      <c r="D907" s="14"/>
      <c r="F907" s="14"/>
    </row>
    <row r="908">
      <c r="D908" s="14"/>
      <c r="F908" s="14"/>
    </row>
    <row r="909">
      <c r="D909" s="14"/>
      <c r="F909" s="14"/>
    </row>
    <row r="910">
      <c r="D910" s="14"/>
      <c r="F910" s="14"/>
    </row>
    <row r="911">
      <c r="D911" s="14"/>
      <c r="F911" s="14"/>
    </row>
    <row r="912">
      <c r="D912" s="14"/>
      <c r="F912" s="14"/>
    </row>
    <row r="913">
      <c r="D913" s="14"/>
      <c r="F913" s="14"/>
    </row>
    <row r="914">
      <c r="D914" s="14"/>
      <c r="F914" s="14"/>
    </row>
    <row r="915">
      <c r="D915" s="14"/>
      <c r="F915" s="14"/>
    </row>
    <row r="916">
      <c r="D916" s="14"/>
      <c r="F916" s="14"/>
    </row>
    <row r="917">
      <c r="D917" s="14"/>
      <c r="F917" s="14"/>
    </row>
    <row r="918">
      <c r="D918" s="14"/>
      <c r="F918" s="14"/>
    </row>
    <row r="919">
      <c r="D919" s="14"/>
      <c r="F919" s="14"/>
    </row>
    <row r="920">
      <c r="D920" s="14"/>
      <c r="F920" s="14"/>
    </row>
    <row r="921">
      <c r="D921" s="14"/>
      <c r="F921" s="14"/>
    </row>
    <row r="922">
      <c r="D922" s="14"/>
      <c r="F922" s="14"/>
    </row>
    <row r="923">
      <c r="D923" s="14"/>
      <c r="F923" s="14"/>
    </row>
    <row r="924">
      <c r="D924" s="14"/>
      <c r="F924" s="14"/>
    </row>
    <row r="925">
      <c r="D925" s="14"/>
      <c r="F925" s="14"/>
    </row>
    <row r="926">
      <c r="D926" s="14"/>
      <c r="F926" s="14"/>
    </row>
    <row r="927">
      <c r="D927" s="14"/>
      <c r="F927" s="14"/>
    </row>
    <row r="928">
      <c r="D928" s="14"/>
      <c r="F928" s="14"/>
    </row>
    <row r="929">
      <c r="D929" s="14"/>
      <c r="F929" s="14"/>
    </row>
    <row r="930">
      <c r="D930" s="14"/>
      <c r="F930" s="14"/>
    </row>
    <row r="931">
      <c r="D931" s="14"/>
      <c r="F931" s="14"/>
    </row>
    <row r="932">
      <c r="D932" s="14"/>
      <c r="F932" s="14"/>
    </row>
    <row r="933">
      <c r="D933" s="14"/>
      <c r="F933" s="14"/>
    </row>
    <row r="934">
      <c r="D934" s="14"/>
      <c r="F934" s="14"/>
    </row>
    <row r="935">
      <c r="D935" s="14"/>
      <c r="F935" s="14"/>
    </row>
    <row r="936">
      <c r="D936" s="14"/>
      <c r="F936" s="14"/>
    </row>
    <row r="937">
      <c r="D937" s="14"/>
      <c r="F937" s="14"/>
    </row>
    <row r="938">
      <c r="D938" s="14"/>
      <c r="F938" s="14"/>
    </row>
    <row r="939">
      <c r="D939" s="14"/>
      <c r="F939" s="14"/>
    </row>
    <row r="940">
      <c r="D940" s="14"/>
      <c r="F940" s="14"/>
    </row>
    <row r="941">
      <c r="D941" s="14"/>
      <c r="F941" s="14"/>
    </row>
    <row r="942">
      <c r="D942" s="14"/>
      <c r="F942" s="14"/>
    </row>
    <row r="943">
      <c r="D943" s="14"/>
      <c r="F943" s="14"/>
    </row>
    <row r="944">
      <c r="D944" s="14"/>
      <c r="F944" s="14"/>
    </row>
    <row r="945">
      <c r="D945" s="14"/>
      <c r="F945" s="14"/>
    </row>
    <row r="946">
      <c r="D946" s="14"/>
      <c r="F946" s="14"/>
    </row>
    <row r="947">
      <c r="D947" s="14"/>
      <c r="F947" s="14"/>
    </row>
    <row r="948">
      <c r="D948" s="14"/>
      <c r="F948" s="14"/>
    </row>
    <row r="949">
      <c r="D949" s="14"/>
      <c r="F949" s="14"/>
    </row>
    <row r="950">
      <c r="D950" s="14"/>
      <c r="F950" s="14"/>
    </row>
    <row r="951">
      <c r="D951" s="14"/>
      <c r="F951" s="14"/>
    </row>
    <row r="952">
      <c r="D952" s="14"/>
      <c r="F952" s="14"/>
    </row>
    <row r="953">
      <c r="D953" s="14"/>
      <c r="F953" s="14"/>
    </row>
    <row r="954">
      <c r="D954" s="14"/>
      <c r="F954" s="14"/>
    </row>
    <row r="955">
      <c r="D955" s="14"/>
      <c r="F955" s="14"/>
    </row>
    <row r="956">
      <c r="D956" s="14"/>
      <c r="F956" s="14"/>
    </row>
    <row r="957">
      <c r="D957" s="14"/>
      <c r="F957" s="14"/>
    </row>
    <row r="958">
      <c r="D958" s="14"/>
      <c r="F958" s="14"/>
    </row>
    <row r="959">
      <c r="D959" s="14"/>
      <c r="F959" s="14"/>
    </row>
    <row r="960">
      <c r="D960" s="14"/>
      <c r="F960" s="14"/>
    </row>
    <row r="961">
      <c r="D961" s="14"/>
      <c r="F961" s="14"/>
    </row>
    <row r="962">
      <c r="D962" s="14"/>
      <c r="F962" s="14"/>
    </row>
    <row r="963">
      <c r="D963" s="14"/>
      <c r="F963" s="14"/>
    </row>
    <row r="964">
      <c r="D964" s="14"/>
      <c r="F964" s="14"/>
    </row>
    <row r="965">
      <c r="D965" s="14"/>
      <c r="F965" s="14"/>
    </row>
    <row r="966">
      <c r="D966" s="14"/>
      <c r="F966" s="14"/>
    </row>
    <row r="967">
      <c r="D967" s="14"/>
      <c r="F967" s="14"/>
    </row>
    <row r="968">
      <c r="D968" s="14"/>
      <c r="F968" s="14"/>
    </row>
    <row r="969">
      <c r="D969" s="14"/>
      <c r="F969" s="14"/>
    </row>
    <row r="970">
      <c r="D970" s="14"/>
      <c r="F970" s="14"/>
    </row>
    <row r="971">
      <c r="D971" s="14"/>
      <c r="F971" s="14"/>
    </row>
    <row r="972">
      <c r="D972" s="14"/>
      <c r="F972" s="14"/>
    </row>
    <row r="973">
      <c r="D973" s="14"/>
      <c r="F973" s="14"/>
    </row>
    <row r="974">
      <c r="D974" s="14"/>
      <c r="F974" s="14"/>
    </row>
    <row r="975">
      <c r="D975" s="14"/>
      <c r="F975" s="14"/>
    </row>
    <row r="976">
      <c r="D976" s="14"/>
      <c r="F976" s="14"/>
    </row>
    <row r="977">
      <c r="D977" s="14"/>
      <c r="F977" s="14"/>
    </row>
    <row r="978">
      <c r="D978" s="14"/>
      <c r="F978" s="14"/>
    </row>
    <row r="979">
      <c r="D979" s="14"/>
      <c r="F979" s="14"/>
    </row>
    <row r="980">
      <c r="D980" s="14"/>
      <c r="F980" s="14"/>
    </row>
    <row r="981">
      <c r="D981" s="14"/>
      <c r="F981" s="14"/>
    </row>
    <row r="982">
      <c r="D982" s="14"/>
      <c r="F982" s="14"/>
    </row>
    <row r="983">
      <c r="D983" s="14"/>
      <c r="F983" s="14"/>
    </row>
    <row r="984">
      <c r="D984" s="14"/>
      <c r="F984" s="14"/>
    </row>
    <row r="985">
      <c r="D985" s="14"/>
      <c r="F985" s="14"/>
    </row>
    <row r="986">
      <c r="D986" s="14"/>
      <c r="F986" s="14"/>
    </row>
    <row r="987">
      <c r="D987" s="14"/>
      <c r="F987" s="14"/>
    </row>
    <row r="988">
      <c r="D988" s="14"/>
      <c r="F988" s="14"/>
    </row>
    <row r="989">
      <c r="D989" s="14"/>
      <c r="F989" s="14"/>
    </row>
    <row r="990">
      <c r="D990" s="14"/>
      <c r="F990" s="14"/>
    </row>
    <row r="991">
      <c r="D991" s="14"/>
      <c r="F991" s="14"/>
    </row>
    <row r="992">
      <c r="D992" s="14"/>
      <c r="F992" s="14"/>
    </row>
    <row r="993">
      <c r="D993" s="14"/>
      <c r="F993" s="14"/>
    </row>
    <row r="994">
      <c r="D994" s="14"/>
      <c r="F994" s="14"/>
    </row>
    <row r="995">
      <c r="D995" s="14"/>
      <c r="F995" s="14"/>
    </row>
    <row r="996">
      <c r="D996" s="14"/>
      <c r="F996" s="14"/>
    </row>
    <row r="997">
      <c r="D997" s="14"/>
      <c r="F997" s="14"/>
    </row>
    <row r="998">
      <c r="D998" s="14"/>
      <c r="F998" s="14"/>
    </row>
    <row r="999">
      <c r="D999" s="14"/>
      <c r="F999" s="14"/>
    </row>
    <row r="1000">
      <c r="D1000" s="14"/>
      <c r="F1000" s="1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4.75"/>
    <col customWidth="1" min="4" max="4" width="18.25"/>
    <col customWidth="1" min="5" max="5" width="14.25"/>
    <col customWidth="1" min="6" max="6" width="15.88"/>
    <col customWidth="1" min="10" max="10" width="3.5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50" t="s">
        <v>6</v>
      </c>
      <c r="J1" s="1" t="s">
        <v>7</v>
      </c>
    </row>
    <row r="2">
      <c r="A2" s="1" t="s">
        <v>8</v>
      </c>
      <c r="B2" s="1" t="s">
        <v>314</v>
      </c>
      <c r="C2" s="1" t="s">
        <v>315</v>
      </c>
      <c r="D2" s="11">
        <v>100000.0</v>
      </c>
      <c r="F2" s="11"/>
      <c r="J2" s="1">
        <v>32.0</v>
      </c>
    </row>
    <row r="3">
      <c r="D3" s="14"/>
      <c r="E3" s="1" t="s">
        <v>272</v>
      </c>
      <c r="F3" s="11">
        <v>9600.0</v>
      </c>
    </row>
    <row r="4">
      <c r="D4" s="14"/>
      <c r="E4" s="1" t="s">
        <v>272</v>
      </c>
      <c r="F4" s="11">
        <v>400.0</v>
      </c>
    </row>
    <row r="5">
      <c r="D5" s="14"/>
      <c r="E5" s="1" t="s">
        <v>273</v>
      </c>
      <c r="F5" s="11">
        <v>32000.0</v>
      </c>
    </row>
    <row r="6">
      <c r="D6" s="14"/>
      <c r="E6" s="1" t="s">
        <v>34</v>
      </c>
      <c r="F6" s="11">
        <v>32000.0</v>
      </c>
    </row>
    <row r="7">
      <c r="D7" s="14"/>
      <c r="E7" s="1" t="s">
        <v>289</v>
      </c>
      <c r="F7" s="11">
        <v>5000.0</v>
      </c>
    </row>
    <row r="8">
      <c r="D8" s="14"/>
      <c r="E8" s="1" t="s">
        <v>318</v>
      </c>
      <c r="F8" s="11">
        <v>27000.0</v>
      </c>
    </row>
    <row r="9">
      <c r="D9" s="14"/>
      <c r="E9" s="1" t="s">
        <v>63</v>
      </c>
      <c r="F9" s="11">
        <v>32000.0</v>
      </c>
    </row>
    <row r="10">
      <c r="D10" s="14"/>
      <c r="E10" s="1" t="s">
        <v>320</v>
      </c>
      <c r="F10" s="11">
        <v>32000.0</v>
      </c>
    </row>
    <row r="11">
      <c r="D11" s="14"/>
      <c r="E11" s="1" t="s">
        <v>293</v>
      </c>
      <c r="F11" s="11">
        <v>32000.0</v>
      </c>
    </row>
    <row r="12">
      <c r="D12" s="14"/>
      <c r="E12" s="1" t="s">
        <v>243</v>
      </c>
      <c r="F12" s="11">
        <v>32000.0</v>
      </c>
    </row>
    <row r="13">
      <c r="D13" s="14"/>
      <c r="F13" s="14"/>
    </row>
    <row r="14">
      <c r="D14" s="14"/>
      <c r="F14" s="14"/>
    </row>
    <row r="15">
      <c r="D15" s="14"/>
      <c r="F15" s="14"/>
    </row>
    <row r="16">
      <c r="D16" s="14"/>
      <c r="F16" s="14"/>
      <c r="H16" s="1" t="s">
        <v>26</v>
      </c>
    </row>
    <row r="17">
      <c r="D17" s="14">
        <f>SUM(D2:D14)</f>
        <v>100000</v>
      </c>
      <c r="F17" s="14">
        <f>SUM(F2:F16)</f>
        <v>234000</v>
      </c>
      <c r="H17" s="18">
        <f>F17/D17</f>
        <v>2.34</v>
      </c>
    </row>
    <row r="18">
      <c r="D18" s="14"/>
      <c r="F18" s="14"/>
    </row>
    <row r="19">
      <c r="D19" s="14"/>
      <c r="F19" s="14"/>
    </row>
    <row r="20">
      <c r="D20" s="14"/>
      <c r="F20" s="14"/>
    </row>
    <row r="21">
      <c r="D21" s="14"/>
      <c r="F21" s="14"/>
    </row>
    <row r="22">
      <c r="D22" s="14"/>
      <c r="F22" s="14"/>
    </row>
    <row r="23">
      <c r="D23" s="14"/>
      <c r="F23" s="14"/>
    </row>
    <row r="24">
      <c r="D24" s="14"/>
      <c r="F24" s="14"/>
    </row>
    <row r="25">
      <c r="D25" s="14"/>
      <c r="F25" s="14"/>
    </row>
    <row r="26">
      <c r="D26" s="14"/>
      <c r="F26" s="14"/>
    </row>
    <row r="27">
      <c r="D27" s="14"/>
      <c r="F27" s="14"/>
    </row>
    <row r="28">
      <c r="D28" s="14"/>
      <c r="F28" s="14"/>
    </row>
    <row r="29">
      <c r="D29" s="14"/>
      <c r="F29" s="14"/>
    </row>
    <row r="30">
      <c r="D30" s="14"/>
      <c r="F30" s="14"/>
    </row>
    <row r="31">
      <c r="D31" s="14"/>
      <c r="F31" s="14"/>
    </row>
    <row r="32">
      <c r="D32" s="14"/>
      <c r="F32" s="14"/>
    </row>
    <row r="33">
      <c r="D33" s="14"/>
      <c r="F33" s="14"/>
    </row>
    <row r="34">
      <c r="D34" s="14"/>
      <c r="F34" s="14"/>
    </row>
    <row r="35">
      <c r="D35" s="14"/>
      <c r="F35" s="14"/>
    </row>
    <row r="36">
      <c r="D36" s="14"/>
      <c r="F36" s="14"/>
    </row>
    <row r="37">
      <c r="D37" s="14"/>
      <c r="F37" s="14"/>
    </row>
    <row r="38">
      <c r="D38" s="14"/>
      <c r="F38" s="14"/>
    </row>
    <row r="39">
      <c r="D39" s="14"/>
      <c r="F39" s="14"/>
    </row>
    <row r="40">
      <c r="D40" s="14"/>
      <c r="F40" s="14"/>
    </row>
    <row r="41">
      <c r="D41" s="14"/>
      <c r="F41" s="14"/>
    </row>
    <row r="42">
      <c r="D42" s="14"/>
      <c r="F42" s="14"/>
    </row>
    <row r="43">
      <c r="D43" s="14"/>
      <c r="F43" s="14"/>
    </row>
    <row r="44">
      <c r="D44" s="14"/>
      <c r="F44" s="14"/>
    </row>
    <row r="45">
      <c r="D45" s="14"/>
      <c r="F45" s="14"/>
    </row>
    <row r="46">
      <c r="D46" s="14"/>
      <c r="F46" s="14"/>
    </row>
    <row r="47">
      <c r="D47" s="14"/>
      <c r="F47" s="14"/>
    </row>
    <row r="48">
      <c r="D48" s="14"/>
      <c r="F48" s="14"/>
    </row>
    <row r="49">
      <c r="D49" s="14"/>
      <c r="F49" s="14"/>
    </row>
    <row r="50">
      <c r="D50" s="14"/>
      <c r="F50" s="14"/>
    </row>
    <row r="51">
      <c r="D51" s="14"/>
      <c r="F51" s="14"/>
    </row>
    <row r="52">
      <c r="D52" s="14"/>
      <c r="F52" s="14"/>
    </row>
    <row r="53">
      <c r="D53" s="14"/>
      <c r="F53" s="14"/>
    </row>
    <row r="54">
      <c r="D54" s="14"/>
      <c r="F54" s="14"/>
    </row>
    <row r="55">
      <c r="D55" s="14"/>
      <c r="F55" s="14"/>
    </row>
    <row r="56">
      <c r="D56" s="14"/>
      <c r="F56" s="14"/>
    </row>
    <row r="57">
      <c r="D57" s="14"/>
      <c r="F57" s="14"/>
    </row>
    <row r="58">
      <c r="D58" s="14"/>
      <c r="F58" s="14"/>
    </row>
    <row r="59">
      <c r="D59" s="14"/>
      <c r="F59" s="14"/>
    </row>
    <row r="60">
      <c r="D60" s="14"/>
      <c r="F60" s="14"/>
    </row>
    <row r="61">
      <c r="D61" s="14"/>
      <c r="F61" s="14"/>
    </row>
    <row r="62">
      <c r="D62" s="14"/>
      <c r="F62" s="14"/>
    </row>
    <row r="63">
      <c r="D63" s="14"/>
      <c r="F63" s="14"/>
    </row>
    <row r="64">
      <c r="D64" s="14"/>
      <c r="F64" s="14"/>
    </row>
    <row r="65">
      <c r="D65" s="14"/>
      <c r="F65" s="14"/>
    </row>
    <row r="66">
      <c r="D66" s="14"/>
      <c r="F66" s="14"/>
    </row>
    <row r="67">
      <c r="D67" s="14"/>
      <c r="F67" s="14"/>
    </row>
    <row r="68">
      <c r="D68" s="14"/>
      <c r="F68" s="14"/>
    </row>
    <row r="69">
      <c r="D69" s="14"/>
      <c r="F69" s="14"/>
    </row>
    <row r="70">
      <c r="D70" s="14"/>
      <c r="F70" s="14"/>
    </row>
    <row r="71">
      <c r="D71" s="14"/>
      <c r="F71" s="14"/>
    </row>
    <row r="72">
      <c r="D72" s="14"/>
      <c r="F72" s="14"/>
    </row>
    <row r="73">
      <c r="D73" s="14"/>
      <c r="F73" s="14"/>
    </row>
    <row r="74">
      <c r="D74" s="14"/>
      <c r="F74" s="14"/>
    </row>
    <row r="75">
      <c r="D75" s="14"/>
      <c r="F75" s="14"/>
    </row>
    <row r="76">
      <c r="D76" s="14"/>
      <c r="F76" s="14"/>
    </row>
    <row r="77">
      <c r="D77" s="14"/>
      <c r="F77" s="14"/>
    </row>
    <row r="78">
      <c r="D78" s="14"/>
      <c r="F78" s="14"/>
    </row>
    <row r="79">
      <c r="D79" s="14"/>
      <c r="F79" s="14"/>
    </row>
    <row r="80">
      <c r="D80" s="14"/>
      <c r="F80" s="14"/>
    </row>
    <row r="81">
      <c r="D81" s="14"/>
      <c r="F81" s="14"/>
    </row>
    <row r="82">
      <c r="D82" s="14"/>
      <c r="F82" s="14"/>
    </row>
    <row r="83">
      <c r="D83" s="14"/>
      <c r="F83" s="14"/>
    </row>
    <row r="84">
      <c r="D84" s="14"/>
      <c r="F84" s="14"/>
    </row>
    <row r="85">
      <c r="D85" s="14"/>
      <c r="F85" s="14"/>
    </row>
    <row r="86">
      <c r="D86" s="14"/>
      <c r="F86" s="14"/>
    </row>
    <row r="87">
      <c r="D87" s="14"/>
      <c r="F87" s="14"/>
    </row>
    <row r="88">
      <c r="D88" s="14"/>
      <c r="F88" s="14"/>
    </row>
    <row r="89">
      <c r="D89" s="14"/>
      <c r="F89" s="14"/>
    </row>
    <row r="90">
      <c r="D90" s="14"/>
      <c r="F90" s="14"/>
    </row>
    <row r="91">
      <c r="D91" s="14"/>
      <c r="F91" s="14"/>
    </row>
    <row r="92">
      <c r="D92" s="14"/>
      <c r="F92" s="14"/>
    </row>
    <row r="93">
      <c r="D93" s="14"/>
      <c r="F93" s="14"/>
    </row>
    <row r="94">
      <c r="D94" s="14"/>
      <c r="F94" s="14"/>
    </row>
    <row r="95">
      <c r="D95" s="14"/>
      <c r="F95" s="14"/>
    </row>
    <row r="96">
      <c r="D96" s="14"/>
      <c r="F96" s="14"/>
    </row>
    <row r="97">
      <c r="D97" s="14"/>
      <c r="F97" s="14"/>
    </row>
    <row r="98">
      <c r="D98" s="14"/>
      <c r="F98" s="14"/>
    </row>
    <row r="99">
      <c r="D99" s="14"/>
      <c r="F99" s="14"/>
    </row>
    <row r="100">
      <c r="D100" s="14"/>
      <c r="F100" s="14"/>
    </row>
    <row r="101">
      <c r="D101" s="14"/>
      <c r="F101" s="14"/>
    </row>
    <row r="102">
      <c r="D102" s="14"/>
      <c r="F102" s="14"/>
    </row>
    <row r="103">
      <c r="D103" s="14"/>
      <c r="F103" s="14"/>
    </row>
    <row r="104">
      <c r="D104" s="14"/>
      <c r="F104" s="14"/>
    </row>
    <row r="105">
      <c r="D105" s="14"/>
      <c r="F105" s="14"/>
    </row>
    <row r="106">
      <c r="D106" s="14"/>
      <c r="F106" s="14"/>
    </row>
    <row r="107">
      <c r="D107" s="14"/>
      <c r="F107" s="14"/>
    </row>
    <row r="108">
      <c r="D108" s="14"/>
      <c r="F108" s="14"/>
    </row>
    <row r="109">
      <c r="D109" s="14"/>
      <c r="F109" s="14"/>
    </row>
    <row r="110">
      <c r="D110" s="14"/>
      <c r="F110" s="14"/>
    </row>
    <row r="111">
      <c r="D111" s="14"/>
      <c r="F111" s="14"/>
    </row>
    <row r="112">
      <c r="D112" s="14"/>
      <c r="F112" s="14"/>
    </row>
    <row r="113">
      <c r="D113" s="14"/>
      <c r="F113" s="14"/>
    </row>
    <row r="114">
      <c r="D114" s="14"/>
      <c r="F114" s="14"/>
    </row>
    <row r="115">
      <c r="D115" s="14"/>
      <c r="F115" s="14"/>
    </row>
    <row r="116">
      <c r="D116" s="14"/>
      <c r="F116" s="14"/>
    </row>
    <row r="117">
      <c r="D117" s="14"/>
      <c r="F117" s="14"/>
    </row>
    <row r="118">
      <c r="D118" s="14"/>
      <c r="F118" s="14"/>
    </row>
    <row r="119">
      <c r="D119" s="14"/>
      <c r="F119" s="14"/>
    </row>
    <row r="120">
      <c r="D120" s="14"/>
      <c r="F120" s="14"/>
    </row>
    <row r="121">
      <c r="D121" s="14"/>
      <c r="F121" s="14"/>
    </row>
    <row r="122">
      <c r="D122" s="14"/>
      <c r="F122" s="14"/>
    </row>
    <row r="123">
      <c r="D123" s="14"/>
      <c r="F123" s="14"/>
    </row>
    <row r="124">
      <c r="D124" s="14"/>
      <c r="F124" s="14"/>
    </row>
    <row r="125">
      <c r="D125" s="14"/>
      <c r="F125" s="14"/>
    </row>
    <row r="126">
      <c r="D126" s="14"/>
      <c r="F126" s="14"/>
    </row>
    <row r="127">
      <c r="D127" s="14"/>
      <c r="F127" s="14"/>
    </row>
    <row r="128">
      <c r="D128" s="14"/>
      <c r="F128" s="14"/>
    </row>
    <row r="129">
      <c r="D129" s="14"/>
      <c r="F129" s="14"/>
    </row>
    <row r="130">
      <c r="D130" s="14"/>
      <c r="F130" s="14"/>
    </row>
    <row r="131">
      <c r="D131" s="14"/>
      <c r="F131" s="14"/>
    </row>
    <row r="132">
      <c r="D132" s="14"/>
      <c r="F132" s="14"/>
    </row>
    <row r="133">
      <c r="D133" s="14"/>
      <c r="F133" s="14"/>
    </row>
    <row r="134">
      <c r="D134" s="14"/>
      <c r="F134" s="14"/>
    </row>
    <row r="135">
      <c r="D135" s="14"/>
      <c r="F135" s="14"/>
    </row>
    <row r="136">
      <c r="D136" s="14"/>
      <c r="F136" s="14"/>
    </row>
    <row r="137">
      <c r="D137" s="14"/>
      <c r="F137" s="14"/>
    </row>
    <row r="138">
      <c r="D138" s="14"/>
      <c r="F138" s="14"/>
    </row>
    <row r="139">
      <c r="D139" s="14"/>
      <c r="F139" s="14"/>
    </row>
    <row r="140">
      <c r="D140" s="14"/>
      <c r="F140" s="14"/>
    </row>
    <row r="141">
      <c r="D141" s="14"/>
      <c r="F141" s="14"/>
    </row>
    <row r="142">
      <c r="D142" s="14"/>
      <c r="F142" s="14"/>
    </row>
    <row r="143">
      <c r="D143" s="14"/>
      <c r="F143" s="14"/>
    </row>
    <row r="144">
      <c r="D144" s="14"/>
      <c r="F144" s="14"/>
    </row>
    <row r="145">
      <c r="D145" s="14"/>
      <c r="F145" s="14"/>
    </row>
    <row r="146">
      <c r="D146" s="14"/>
      <c r="F146" s="14"/>
    </row>
    <row r="147">
      <c r="D147" s="14"/>
      <c r="F147" s="14"/>
    </row>
    <row r="148">
      <c r="D148" s="14"/>
      <c r="F148" s="14"/>
    </row>
    <row r="149">
      <c r="D149" s="14"/>
      <c r="F149" s="14"/>
    </row>
    <row r="150">
      <c r="D150" s="14"/>
      <c r="F150" s="14"/>
    </row>
    <row r="151">
      <c r="D151" s="14"/>
      <c r="F151" s="14"/>
    </row>
    <row r="152">
      <c r="D152" s="14"/>
      <c r="F152" s="14"/>
    </row>
    <row r="153">
      <c r="D153" s="14"/>
      <c r="F153" s="14"/>
    </row>
    <row r="154">
      <c r="D154" s="14"/>
      <c r="F154" s="14"/>
    </row>
    <row r="155">
      <c r="D155" s="14"/>
      <c r="F155" s="14"/>
    </row>
    <row r="156">
      <c r="D156" s="14"/>
      <c r="F156" s="14"/>
    </row>
    <row r="157">
      <c r="D157" s="14"/>
      <c r="F157" s="14"/>
    </row>
    <row r="158">
      <c r="D158" s="14"/>
      <c r="F158" s="14"/>
    </row>
    <row r="159">
      <c r="D159" s="14"/>
      <c r="F159" s="14"/>
    </row>
    <row r="160">
      <c r="D160" s="14"/>
      <c r="F160" s="14"/>
    </row>
    <row r="161">
      <c r="D161" s="14"/>
      <c r="F161" s="14"/>
    </row>
    <row r="162">
      <c r="D162" s="14"/>
      <c r="F162" s="14"/>
    </row>
    <row r="163">
      <c r="D163" s="14"/>
      <c r="F163" s="14"/>
    </row>
    <row r="164">
      <c r="D164" s="14"/>
      <c r="F164" s="14"/>
    </row>
    <row r="165">
      <c r="D165" s="14"/>
      <c r="F165" s="14"/>
    </row>
    <row r="166">
      <c r="D166" s="14"/>
      <c r="F166" s="14"/>
    </row>
    <row r="167">
      <c r="D167" s="14"/>
      <c r="F167" s="14"/>
    </row>
    <row r="168">
      <c r="D168" s="14"/>
      <c r="F168" s="14"/>
    </row>
    <row r="169">
      <c r="D169" s="14"/>
      <c r="F169" s="14"/>
    </row>
    <row r="170">
      <c r="D170" s="14"/>
      <c r="F170" s="14"/>
    </row>
    <row r="171">
      <c r="D171" s="14"/>
      <c r="F171" s="14"/>
    </row>
    <row r="172">
      <c r="D172" s="14"/>
      <c r="F172" s="14"/>
    </row>
    <row r="173">
      <c r="D173" s="14"/>
      <c r="F173" s="14"/>
    </row>
    <row r="174">
      <c r="D174" s="14"/>
      <c r="F174" s="14"/>
    </row>
    <row r="175">
      <c r="D175" s="14"/>
      <c r="F175" s="14"/>
    </row>
    <row r="176">
      <c r="D176" s="14"/>
      <c r="F176" s="14"/>
    </row>
    <row r="177">
      <c r="D177" s="14"/>
      <c r="F177" s="14"/>
    </row>
    <row r="178">
      <c r="D178" s="14"/>
      <c r="F178" s="14"/>
    </row>
    <row r="179">
      <c r="D179" s="14"/>
      <c r="F179" s="14"/>
    </row>
    <row r="180">
      <c r="D180" s="14"/>
      <c r="F180" s="14"/>
    </row>
    <row r="181">
      <c r="D181" s="14"/>
      <c r="F181" s="14"/>
    </row>
    <row r="182">
      <c r="D182" s="14"/>
      <c r="F182" s="14"/>
    </row>
    <row r="183">
      <c r="D183" s="14"/>
      <c r="F183" s="14"/>
    </row>
    <row r="184">
      <c r="D184" s="14"/>
      <c r="F184" s="14"/>
    </row>
    <row r="185">
      <c r="D185" s="14"/>
      <c r="F185" s="14"/>
    </row>
    <row r="186">
      <c r="D186" s="14"/>
      <c r="F186" s="14"/>
    </row>
    <row r="187">
      <c r="D187" s="14"/>
      <c r="F187" s="14"/>
    </row>
    <row r="188">
      <c r="D188" s="14"/>
      <c r="F188" s="14"/>
    </row>
    <row r="189">
      <c r="D189" s="14"/>
      <c r="F189" s="14"/>
    </row>
    <row r="190">
      <c r="D190" s="14"/>
      <c r="F190" s="14"/>
    </row>
    <row r="191">
      <c r="D191" s="14"/>
      <c r="F191" s="14"/>
    </row>
    <row r="192">
      <c r="D192" s="14"/>
      <c r="F192" s="14"/>
    </row>
    <row r="193">
      <c r="D193" s="14"/>
      <c r="F193" s="14"/>
    </row>
    <row r="194">
      <c r="D194" s="14"/>
      <c r="F194" s="14"/>
    </row>
    <row r="195">
      <c r="D195" s="14"/>
      <c r="F195" s="14"/>
    </row>
    <row r="196">
      <c r="D196" s="14"/>
      <c r="F196" s="14"/>
    </row>
    <row r="197">
      <c r="D197" s="14"/>
      <c r="F197" s="14"/>
    </row>
    <row r="198">
      <c r="D198" s="14"/>
      <c r="F198" s="14"/>
    </row>
    <row r="199">
      <c r="D199" s="14"/>
      <c r="F199" s="14"/>
    </row>
    <row r="200">
      <c r="D200" s="14"/>
      <c r="F200" s="14"/>
    </row>
    <row r="201">
      <c r="D201" s="14"/>
      <c r="F201" s="14"/>
    </row>
    <row r="202">
      <c r="D202" s="14"/>
      <c r="F202" s="14"/>
    </row>
    <row r="203">
      <c r="D203" s="14"/>
      <c r="F203" s="14"/>
    </row>
    <row r="204">
      <c r="D204" s="14"/>
      <c r="F204" s="14"/>
    </row>
    <row r="205">
      <c r="D205" s="14"/>
      <c r="F205" s="14"/>
    </row>
    <row r="206">
      <c r="D206" s="14"/>
      <c r="F206" s="14"/>
    </row>
    <row r="207">
      <c r="D207" s="14"/>
      <c r="F207" s="14"/>
    </row>
    <row r="208">
      <c r="D208" s="14"/>
      <c r="F208" s="14"/>
    </row>
    <row r="209">
      <c r="D209" s="14"/>
      <c r="F209" s="14"/>
    </row>
    <row r="210">
      <c r="D210" s="14"/>
      <c r="F210" s="14"/>
    </row>
    <row r="211">
      <c r="D211" s="14"/>
      <c r="F211" s="14"/>
    </row>
    <row r="212">
      <c r="D212" s="14"/>
      <c r="F212" s="14"/>
    </row>
    <row r="213">
      <c r="D213" s="14"/>
      <c r="F213" s="14"/>
    </row>
    <row r="214">
      <c r="D214" s="14"/>
      <c r="F214" s="14"/>
    </row>
    <row r="215">
      <c r="D215" s="14"/>
      <c r="F215" s="14"/>
    </row>
    <row r="216">
      <c r="D216" s="14"/>
      <c r="F216" s="14"/>
    </row>
    <row r="217">
      <c r="D217" s="14"/>
      <c r="F217" s="14"/>
    </row>
    <row r="218">
      <c r="D218" s="14"/>
      <c r="F218" s="14"/>
    </row>
    <row r="219">
      <c r="D219" s="14"/>
      <c r="F219" s="14"/>
    </row>
    <row r="220">
      <c r="D220" s="14"/>
      <c r="F220" s="14"/>
    </row>
    <row r="221">
      <c r="D221" s="14"/>
      <c r="F221" s="14"/>
    </row>
    <row r="222">
      <c r="D222" s="14"/>
      <c r="F222" s="14"/>
    </row>
    <row r="223">
      <c r="D223" s="14"/>
      <c r="F223" s="14"/>
    </row>
    <row r="224">
      <c r="D224" s="14"/>
      <c r="F224" s="14"/>
    </row>
    <row r="225">
      <c r="D225" s="14"/>
      <c r="F225" s="14"/>
    </row>
    <row r="226">
      <c r="D226" s="14"/>
      <c r="F226" s="14"/>
    </row>
    <row r="227">
      <c r="D227" s="14"/>
      <c r="F227" s="14"/>
    </row>
    <row r="228">
      <c r="D228" s="14"/>
      <c r="F228" s="14"/>
    </row>
    <row r="229">
      <c r="D229" s="14"/>
      <c r="F229" s="14"/>
    </row>
    <row r="230">
      <c r="D230" s="14"/>
      <c r="F230" s="14"/>
    </row>
    <row r="231">
      <c r="D231" s="14"/>
      <c r="F231" s="14"/>
    </row>
    <row r="232">
      <c r="D232" s="14"/>
      <c r="F232" s="14"/>
    </row>
    <row r="233">
      <c r="D233" s="14"/>
      <c r="F233" s="14"/>
    </row>
    <row r="234">
      <c r="D234" s="14"/>
      <c r="F234" s="14"/>
    </row>
    <row r="235">
      <c r="D235" s="14"/>
      <c r="F235" s="14"/>
    </row>
    <row r="236">
      <c r="D236" s="14"/>
      <c r="F236" s="14"/>
    </row>
    <row r="237">
      <c r="D237" s="14"/>
      <c r="F237" s="14"/>
    </row>
    <row r="238">
      <c r="D238" s="14"/>
      <c r="F238" s="14"/>
    </row>
    <row r="239">
      <c r="D239" s="14"/>
      <c r="F239" s="14"/>
    </row>
    <row r="240">
      <c r="D240" s="14"/>
      <c r="F240" s="14"/>
    </row>
    <row r="241">
      <c r="D241" s="14"/>
      <c r="F241" s="14"/>
    </row>
    <row r="242">
      <c r="D242" s="14"/>
      <c r="F242" s="14"/>
    </row>
    <row r="243">
      <c r="D243" s="14"/>
      <c r="F243" s="14"/>
    </row>
    <row r="244">
      <c r="D244" s="14"/>
      <c r="F244" s="14"/>
    </row>
    <row r="245">
      <c r="D245" s="14"/>
      <c r="F245" s="14"/>
    </row>
    <row r="246">
      <c r="D246" s="14"/>
      <c r="F246" s="14"/>
    </row>
    <row r="247">
      <c r="D247" s="14"/>
      <c r="F247" s="14"/>
    </row>
    <row r="248">
      <c r="D248" s="14"/>
      <c r="F248" s="14"/>
    </row>
    <row r="249">
      <c r="D249" s="14"/>
      <c r="F249" s="14"/>
    </row>
    <row r="250">
      <c r="D250" s="14"/>
      <c r="F250" s="14"/>
    </row>
    <row r="251">
      <c r="D251" s="14"/>
      <c r="F251" s="14"/>
    </row>
    <row r="252">
      <c r="D252" s="14"/>
      <c r="F252" s="14"/>
    </row>
    <row r="253">
      <c r="D253" s="14"/>
      <c r="F253" s="14"/>
    </row>
    <row r="254">
      <c r="D254" s="14"/>
      <c r="F254" s="14"/>
    </row>
    <row r="255">
      <c r="D255" s="14"/>
      <c r="F255" s="14"/>
    </row>
    <row r="256">
      <c r="D256" s="14"/>
      <c r="F256" s="14"/>
    </row>
    <row r="257">
      <c r="D257" s="14"/>
      <c r="F257" s="14"/>
    </row>
    <row r="258">
      <c r="D258" s="14"/>
      <c r="F258" s="14"/>
    </row>
    <row r="259">
      <c r="D259" s="14"/>
      <c r="F259" s="14"/>
    </row>
    <row r="260">
      <c r="D260" s="14"/>
      <c r="F260" s="14"/>
    </row>
    <row r="261">
      <c r="D261" s="14"/>
      <c r="F261" s="14"/>
    </row>
    <row r="262">
      <c r="D262" s="14"/>
      <c r="F262" s="14"/>
    </row>
    <row r="263">
      <c r="D263" s="14"/>
      <c r="F263" s="14"/>
    </row>
    <row r="264">
      <c r="D264" s="14"/>
      <c r="F264" s="14"/>
    </row>
    <row r="265">
      <c r="D265" s="14"/>
      <c r="F265" s="14"/>
    </row>
    <row r="266">
      <c r="D266" s="14"/>
      <c r="F266" s="14"/>
    </row>
    <row r="267">
      <c r="D267" s="14"/>
      <c r="F267" s="14"/>
    </row>
    <row r="268">
      <c r="D268" s="14"/>
      <c r="F268" s="14"/>
    </row>
    <row r="269">
      <c r="D269" s="14"/>
      <c r="F269" s="14"/>
    </row>
    <row r="270">
      <c r="D270" s="14"/>
      <c r="F270" s="14"/>
    </row>
    <row r="271">
      <c r="D271" s="14"/>
      <c r="F271" s="14"/>
    </row>
    <row r="272">
      <c r="D272" s="14"/>
      <c r="F272" s="14"/>
    </row>
    <row r="273">
      <c r="D273" s="14"/>
      <c r="F273" s="14"/>
    </row>
    <row r="274">
      <c r="D274" s="14"/>
      <c r="F274" s="14"/>
    </row>
    <row r="275">
      <c r="D275" s="14"/>
      <c r="F275" s="14"/>
    </row>
    <row r="276">
      <c r="D276" s="14"/>
      <c r="F276" s="14"/>
    </row>
    <row r="277">
      <c r="D277" s="14"/>
      <c r="F277" s="14"/>
    </row>
    <row r="278">
      <c r="D278" s="14"/>
      <c r="F278" s="14"/>
    </row>
    <row r="279">
      <c r="D279" s="14"/>
      <c r="F279" s="14"/>
    </row>
    <row r="280">
      <c r="D280" s="14"/>
      <c r="F280" s="14"/>
    </row>
    <row r="281">
      <c r="D281" s="14"/>
      <c r="F281" s="14"/>
    </row>
    <row r="282">
      <c r="D282" s="14"/>
      <c r="F282" s="14"/>
    </row>
    <row r="283">
      <c r="D283" s="14"/>
      <c r="F283" s="14"/>
    </row>
    <row r="284">
      <c r="D284" s="14"/>
      <c r="F284" s="14"/>
    </row>
    <row r="285">
      <c r="D285" s="14"/>
      <c r="F285" s="14"/>
    </row>
    <row r="286">
      <c r="D286" s="14"/>
      <c r="F286" s="14"/>
    </row>
    <row r="287">
      <c r="D287" s="14"/>
      <c r="F287" s="14"/>
    </row>
    <row r="288">
      <c r="D288" s="14"/>
      <c r="F288" s="14"/>
    </row>
    <row r="289">
      <c r="D289" s="14"/>
      <c r="F289" s="14"/>
    </row>
    <row r="290">
      <c r="D290" s="14"/>
      <c r="F290" s="14"/>
    </row>
    <row r="291">
      <c r="D291" s="14"/>
      <c r="F291" s="14"/>
    </row>
    <row r="292">
      <c r="D292" s="14"/>
      <c r="F292" s="14"/>
    </row>
    <row r="293">
      <c r="D293" s="14"/>
      <c r="F293" s="14"/>
    </row>
    <row r="294">
      <c r="D294" s="14"/>
      <c r="F294" s="14"/>
    </row>
    <row r="295">
      <c r="D295" s="14"/>
      <c r="F295" s="14"/>
    </row>
    <row r="296">
      <c r="D296" s="14"/>
      <c r="F296" s="14"/>
    </row>
    <row r="297">
      <c r="D297" s="14"/>
      <c r="F297" s="14"/>
    </row>
    <row r="298">
      <c r="D298" s="14"/>
      <c r="F298" s="14"/>
    </row>
    <row r="299">
      <c r="D299" s="14"/>
      <c r="F299" s="14"/>
    </row>
    <row r="300">
      <c r="D300" s="14"/>
      <c r="F300" s="14"/>
    </row>
    <row r="301">
      <c r="D301" s="14"/>
      <c r="F301" s="14"/>
    </row>
    <row r="302">
      <c r="D302" s="14"/>
      <c r="F302" s="14"/>
    </row>
    <row r="303">
      <c r="D303" s="14"/>
      <c r="F303" s="14"/>
    </row>
    <row r="304">
      <c r="D304" s="14"/>
      <c r="F304" s="14"/>
    </row>
    <row r="305">
      <c r="D305" s="14"/>
      <c r="F305" s="14"/>
    </row>
    <row r="306">
      <c r="D306" s="14"/>
      <c r="F306" s="14"/>
    </row>
    <row r="307">
      <c r="D307" s="14"/>
      <c r="F307" s="14"/>
    </row>
    <row r="308">
      <c r="D308" s="14"/>
      <c r="F308" s="14"/>
    </row>
    <row r="309">
      <c r="D309" s="14"/>
      <c r="F309" s="14"/>
    </row>
    <row r="310">
      <c r="D310" s="14"/>
      <c r="F310" s="14"/>
    </row>
    <row r="311">
      <c r="D311" s="14"/>
      <c r="F311" s="14"/>
    </row>
    <row r="312">
      <c r="D312" s="14"/>
      <c r="F312" s="14"/>
    </row>
    <row r="313">
      <c r="D313" s="14"/>
      <c r="F313" s="14"/>
    </row>
    <row r="314">
      <c r="D314" s="14"/>
      <c r="F314" s="14"/>
    </row>
    <row r="315">
      <c r="D315" s="14"/>
      <c r="F315" s="14"/>
    </row>
    <row r="316">
      <c r="D316" s="14"/>
      <c r="F316" s="14"/>
    </row>
    <row r="317">
      <c r="D317" s="14"/>
      <c r="F317" s="14"/>
    </row>
    <row r="318">
      <c r="D318" s="14"/>
      <c r="F318" s="14"/>
    </row>
    <row r="319">
      <c r="D319" s="14"/>
      <c r="F319" s="14"/>
    </row>
    <row r="320">
      <c r="D320" s="14"/>
      <c r="F320" s="14"/>
    </row>
    <row r="321">
      <c r="D321" s="14"/>
      <c r="F321" s="14"/>
    </row>
    <row r="322">
      <c r="D322" s="14"/>
      <c r="F322" s="14"/>
    </row>
    <row r="323">
      <c r="D323" s="14"/>
      <c r="F323" s="14"/>
    </row>
    <row r="324">
      <c r="D324" s="14"/>
      <c r="F324" s="14"/>
    </row>
    <row r="325">
      <c r="D325" s="14"/>
      <c r="F325" s="14"/>
    </row>
    <row r="326">
      <c r="D326" s="14"/>
      <c r="F326" s="14"/>
    </row>
    <row r="327">
      <c r="D327" s="14"/>
      <c r="F327" s="14"/>
    </row>
    <row r="328">
      <c r="D328" s="14"/>
      <c r="F328" s="14"/>
    </row>
    <row r="329">
      <c r="D329" s="14"/>
      <c r="F329" s="14"/>
    </row>
    <row r="330">
      <c r="D330" s="14"/>
      <c r="F330" s="14"/>
    </row>
    <row r="331">
      <c r="D331" s="14"/>
      <c r="F331" s="14"/>
    </row>
    <row r="332">
      <c r="D332" s="14"/>
      <c r="F332" s="14"/>
    </row>
    <row r="333">
      <c r="D333" s="14"/>
      <c r="F333" s="14"/>
    </row>
    <row r="334">
      <c r="D334" s="14"/>
      <c r="F334" s="14"/>
    </row>
    <row r="335">
      <c r="D335" s="14"/>
      <c r="F335" s="14"/>
    </row>
    <row r="336">
      <c r="D336" s="14"/>
      <c r="F336" s="14"/>
    </row>
    <row r="337">
      <c r="D337" s="14"/>
      <c r="F337" s="14"/>
    </row>
    <row r="338">
      <c r="D338" s="14"/>
      <c r="F338" s="14"/>
    </row>
    <row r="339">
      <c r="D339" s="14"/>
      <c r="F339" s="14"/>
    </row>
    <row r="340">
      <c r="D340" s="14"/>
      <c r="F340" s="14"/>
    </row>
    <row r="341">
      <c r="D341" s="14"/>
      <c r="F341" s="14"/>
    </row>
    <row r="342">
      <c r="D342" s="14"/>
      <c r="F342" s="14"/>
    </row>
    <row r="343">
      <c r="D343" s="14"/>
      <c r="F343" s="14"/>
    </row>
    <row r="344">
      <c r="D344" s="14"/>
      <c r="F344" s="14"/>
    </row>
    <row r="345">
      <c r="D345" s="14"/>
      <c r="F345" s="14"/>
    </row>
    <row r="346">
      <c r="D346" s="14"/>
      <c r="F346" s="14"/>
    </row>
    <row r="347">
      <c r="D347" s="14"/>
      <c r="F347" s="14"/>
    </row>
    <row r="348">
      <c r="D348" s="14"/>
      <c r="F348" s="14"/>
    </row>
    <row r="349">
      <c r="D349" s="14"/>
      <c r="F349" s="14"/>
    </row>
    <row r="350">
      <c r="D350" s="14"/>
      <c r="F350" s="14"/>
    </row>
    <row r="351">
      <c r="D351" s="14"/>
      <c r="F351" s="14"/>
    </row>
    <row r="352">
      <c r="D352" s="14"/>
      <c r="F352" s="14"/>
    </row>
    <row r="353">
      <c r="D353" s="14"/>
      <c r="F353" s="14"/>
    </row>
    <row r="354">
      <c r="D354" s="14"/>
      <c r="F354" s="14"/>
    </row>
    <row r="355">
      <c r="D355" s="14"/>
      <c r="F355" s="14"/>
    </row>
    <row r="356">
      <c r="D356" s="14"/>
      <c r="F356" s="14"/>
    </row>
    <row r="357">
      <c r="D357" s="14"/>
      <c r="F357" s="14"/>
    </row>
    <row r="358">
      <c r="D358" s="14"/>
      <c r="F358" s="14"/>
    </row>
    <row r="359">
      <c r="D359" s="14"/>
      <c r="F359" s="14"/>
    </row>
    <row r="360">
      <c r="D360" s="14"/>
      <c r="F360" s="14"/>
    </row>
    <row r="361">
      <c r="D361" s="14"/>
      <c r="F361" s="14"/>
    </row>
    <row r="362">
      <c r="D362" s="14"/>
      <c r="F362" s="14"/>
    </row>
    <row r="363">
      <c r="D363" s="14"/>
      <c r="F363" s="14"/>
    </row>
    <row r="364">
      <c r="D364" s="14"/>
      <c r="F364" s="14"/>
    </row>
    <row r="365">
      <c r="D365" s="14"/>
      <c r="F365" s="14"/>
    </row>
    <row r="366">
      <c r="D366" s="14"/>
      <c r="F366" s="14"/>
    </row>
    <row r="367">
      <c r="D367" s="14"/>
      <c r="F367" s="14"/>
    </row>
    <row r="368">
      <c r="D368" s="14"/>
      <c r="F368" s="14"/>
    </row>
    <row r="369">
      <c r="D369" s="14"/>
      <c r="F369" s="14"/>
    </row>
    <row r="370">
      <c r="D370" s="14"/>
      <c r="F370" s="14"/>
    </row>
    <row r="371">
      <c r="D371" s="14"/>
      <c r="F371" s="14"/>
    </row>
    <row r="372">
      <c r="D372" s="14"/>
      <c r="F372" s="14"/>
    </row>
    <row r="373">
      <c r="D373" s="14"/>
      <c r="F373" s="14"/>
    </row>
    <row r="374">
      <c r="D374" s="14"/>
      <c r="F374" s="14"/>
    </row>
    <row r="375">
      <c r="D375" s="14"/>
      <c r="F375" s="14"/>
    </row>
    <row r="376">
      <c r="D376" s="14"/>
      <c r="F376" s="14"/>
    </row>
    <row r="377">
      <c r="D377" s="14"/>
      <c r="F377" s="14"/>
    </row>
    <row r="378">
      <c r="D378" s="14"/>
      <c r="F378" s="14"/>
    </row>
    <row r="379">
      <c r="D379" s="14"/>
      <c r="F379" s="14"/>
    </row>
    <row r="380">
      <c r="D380" s="14"/>
      <c r="F380" s="14"/>
    </row>
    <row r="381">
      <c r="D381" s="14"/>
      <c r="F381" s="14"/>
    </row>
    <row r="382">
      <c r="D382" s="14"/>
      <c r="F382" s="14"/>
    </row>
    <row r="383">
      <c r="D383" s="14"/>
      <c r="F383" s="14"/>
    </row>
    <row r="384">
      <c r="D384" s="14"/>
      <c r="F384" s="14"/>
    </row>
    <row r="385">
      <c r="D385" s="14"/>
      <c r="F385" s="14"/>
    </row>
    <row r="386">
      <c r="D386" s="14"/>
      <c r="F386" s="14"/>
    </row>
    <row r="387">
      <c r="D387" s="14"/>
      <c r="F387" s="14"/>
    </row>
    <row r="388">
      <c r="D388" s="14"/>
      <c r="F388" s="14"/>
    </row>
    <row r="389">
      <c r="D389" s="14"/>
      <c r="F389" s="14"/>
    </row>
    <row r="390">
      <c r="D390" s="14"/>
      <c r="F390" s="14"/>
    </row>
    <row r="391">
      <c r="D391" s="14"/>
      <c r="F391" s="14"/>
    </row>
    <row r="392">
      <c r="D392" s="14"/>
      <c r="F392" s="14"/>
    </row>
    <row r="393">
      <c r="D393" s="14"/>
      <c r="F393" s="14"/>
    </row>
    <row r="394">
      <c r="D394" s="14"/>
      <c r="F394" s="14"/>
    </row>
    <row r="395">
      <c r="D395" s="14"/>
      <c r="F395" s="14"/>
    </row>
    <row r="396">
      <c r="D396" s="14"/>
      <c r="F396" s="14"/>
    </row>
    <row r="397">
      <c r="D397" s="14"/>
      <c r="F397" s="14"/>
    </row>
    <row r="398">
      <c r="D398" s="14"/>
      <c r="F398" s="14"/>
    </row>
    <row r="399">
      <c r="D399" s="14"/>
      <c r="F399" s="14"/>
    </row>
    <row r="400">
      <c r="D400" s="14"/>
      <c r="F400" s="14"/>
    </row>
    <row r="401">
      <c r="D401" s="14"/>
      <c r="F401" s="14"/>
    </row>
    <row r="402">
      <c r="D402" s="14"/>
      <c r="F402" s="14"/>
    </row>
    <row r="403">
      <c r="D403" s="14"/>
      <c r="F403" s="14"/>
    </row>
    <row r="404">
      <c r="D404" s="14"/>
      <c r="F404" s="14"/>
    </row>
    <row r="405">
      <c r="D405" s="14"/>
      <c r="F405" s="14"/>
    </row>
    <row r="406">
      <c r="D406" s="14"/>
      <c r="F406" s="14"/>
    </row>
    <row r="407">
      <c r="D407" s="14"/>
      <c r="F407" s="14"/>
    </row>
    <row r="408">
      <c r="D408" s="14"/>
      <c r="F408" s="14"/>
    </row>
    <row r="409">
      <c r="D409" s="14"/>
      <c r="F409" s="14"/>
    </row>
    <row r="410">
      <c r="D410" s="14"/>
      <c r="F410" s="14"/>
    </row>
    <row r="411">
      <c r="D411" s="14"/>
      <c r="F411" s="14"/>
    </row>
    <row r="412">
      <c r="D412" s="14"/>
      <c r="F412" s="14"/>
    </row>
    <row r="413">
      <c r="D413" s="14"/>
      <c r="F413" s="14"/>
    </row>
    <row r="414">
      <c r="D414" s="14"/>
      <c r="F414" s="14"/>
    </row>
    <row r="415">
      <c r="D415" s="14"/>
      <c r="F415" s="14"/>
    </row>
    <row r="416">
      <c r="D416" s="14"/>
      <c r="F416" s="14"/>
    </row>
    <row r="417">
      <c r="D417" s="14"/>
      <c r="F417" s="14"/>
    </row>
    <row r="418">
      <c r="D418" s="14"/>
      <c r="F418" s="14"/>
    </row>
    <row r="419">
      <c r="D419" s="14"/>
      <c r="F419" s="14"/>
    </row>
    <row r="420">
      <c r="D420" s="14"/>
      <c r="F420" s="14"/>
    </row>
    <row r="421">
      <c r="D421" s="14"/>
      <c r="F421" s="14"/>
    </row>
    <row r="422">
      <c r="D422" s="14"/>
      <c r="F422" s="14"/>
    </row>
    <row r="423">
      <c r="D423" s="14"/>
      <c r="F423" s="14"/>
    </row>
    <row r="424">
      <c r="D424" s="14"/>
      <c r="F424" s="14"/>
    </row>
    <row r="425">
      <c r="D425" s="14"/>
      <c r="F425" s="14"/>
    </row>
    <row r="426">
      <c r="D426" s="14"/>
      <c r="F426" s="14"/>
    </row>
    <row r="427">
      <c r="D427" s="14"/>
      <c r="F427" s="14"/>
    </row>
    <row r="428">
      <c r="D428" s="14"/>
      <c r="F428" s="14"/>
    </row>
    <row r="429">
      <c r="D429" s="14"/>
      <c r="F429" s="14"/>
    </row>
    <row r="430">
      <c r="D430" s="14"/>
      <c r="F430" s="14"/>
    </row>
    <row r="431">
      <c r="D431" s="14"/>
      <c r="F431" s="14"/>
    </row>
    <row r="432">
      <c r="D432" s="14"/>
      <c r="F432" s="14"/>
    </row>
    <row r="433">
      <c r="D433" s="14"/>
      <c r="F433" s="14"/>
    </row>
    <row r="434">
      <c r="D434" s="14"/>
      <c r="F434" s="14"/>
    </row>
    <row r="435">
      <c r="D435" s="14"/>
      <c r="F435" s="14"/>
    </row>
    <row r="436">
      <c r="D436" s="14"/>
      <c r="F436" s="14"/>
    </row>
    <row r="437">
      <c r="D437" s="14"/>
      <c r="F437" s="14"/>
    </row>
    <row r="438">
      <c r="D438" s="14"/>
      <c r="F438" s="14"/>
    </row>
    <row r="439">
      <c r="D439" s="14"/>
      <c r="F439" s="14"/>
    </row>
    <row r="440">
      <c r="D440" s="14"/>
      <c r="F440" s="14"/>
    </row>
    <row r="441">
      <c r="D441" s="14"/>
      <c r="F441" s="14"/>
    </row>
    <row r="442">
      <c r="D442" s="14"/>
      <c r="F442" s="14"/>
    </row>
    <row r="443">
      <c r="D443" s="14"/>
      <c r="F443" s="14"/>
    </row>
    <row r="444">
      <c r="D444" s="14"/>
      <c r="F444" s="14"/>
    </row>
    <row r="445">
      <c r="D445" s="14"/>
      <c r="F445" s="14"/>
    </row>
    <row r="446">
      <c r="D446" s="14"/>
      <c r="F446" s="14"/>
    </row>
    <row r="447">
      <c r="D447" s="14"/>
      <c r="F447" s="14"/>
    </row>
    <row r="448">
      <c r="D448" s="14"/>
      <c r="F448" s="14"/>
    </row>
    <row r="449">
      <c r="D449" s="14"/>
      <c r="F449" s="14"/>
    </row>
    <row r="450">
      <c r="D450" s="14"/>
      <c r="F450" s="14"/>
    </row>
    <row r="451">
      <c r="D451" s="14"/>
      <c r="F451" s="14"/>
    </row>
    <row r="452">
      <c r="D452" s="14"/>
      <c r="F452" s="14"/>
    </row>
    <row r="453">
      <c r="D453" s="14"/>
      <c r="F453" s="14"/>
    </row>
    <row r="454">
      <c r="D454" s="14"/>
      <c r="F454" s="14"/>
    </row>
    <row r="455">
      <c r="D455" s="14"/>
      <c r="F455" s="14"/>
    </row>
    <row r="456">
      <c r="D456" s="14"/>
      <c r="F456" s="14"/>
    </row>
    <row r="457">
      <c r="D457" s="14"/>
      <c r="F457" s="14"/>
    </row>
    <row r="458">
      <c r="D458" s="14"/>
      <c r="F458" s="14"/>
    </row>
    <row r="459">
      <c r="D459" s="14"/>
      <c r="F459" s="14"/>
    </row>
    <row r="460">
      <c r="D460" s="14"/>
      <c r="F460" s="14"/>
    </row>
    <row r="461">
      <c r="D461" s="14"/>
      <c r="F461" s="14"/>
    </row>
    <row r="462">
      <c r="D462" s="14"/>
      <c r="F462" s="14"/>
    </row>
    <row r="463">
      <c r="D463" s="14"/>
      <c r="F463" s="14"/>
    </row>
    <row r="464">
      <c r="D464" s="14"/>
      <c r="F464" s="14"/>
    </row>
    <row r="465">
      <c r="D465" s="14"/>
      <c r="F465" s="14"/>
    </row>
    <row r="466">
      <c r="D466" s="14"/>
      <c r="F466" s="14"/>
    </row>
    <row r="467">
      <c r="D467" s="14"/>
      <c r="F467" s="14"/>
    </row>
    <row r="468">
      <c r="D468" s="14"/>
      <c r="F468" s="14"/>
    </row>
    <row r="469">
      <c r="D469" s="14"/>
      <c r="F469" s="14"/>
    </row>
    <row r="470">
      <c r="D470" s="14"/>
      <c r="F470" s="14"/>
    </row>
    <row r="471">
      <c r="D471" s="14"/>
      <c r="F471" s="14"/>
    </row>
    <row r="472">
      <c r="D472" s="14"/>
      <c r="F472" s="14"/>
    </row>
    <row r="473">
      <c r="D473" s="14"/>
      <c r="F473" s="14"/>
    </row>
    <row r="474">
      <c r="D474" s="14"/>
      <c r="F474" s="14"/>
    </row>
    <row r="475">
      <c r="D475" s="14"/>
      <c r="F475" s="14"/>
    </row>
    <row r="476">
      <c r="D476" s="14"/>
      <c r="F476" s="14"/>
    </row>
    <row r="477">
      <c r="D477" s="14"/>
      <c r="F477" s="14"/>
    </row>
    <row r="478">
      <c r="D478" s="14"/>
      <c r="F478" s="14"/>
    </row>
    <row r="479">
      <c r="D479" s="14"/>
      <c r="F479" s="14"/>
    </row>
    <row r="480">
      <c r="D480" s="14"/>
      <c r="F480" s="14"/>
    </row>
    <row r="481">
      <c r="D481" s="14"/>
      <c r="F481" s="14"/>
    </row>
    <row r="482">
      <c r="D482" s="14"/>
      <c r="F482" s="14"/>
    </row>
    <row r="483">
      <c r="D483" s="14"/>
      <c r="F483" s="14"/>
    </row>
    <row r="484">
      <c r="D484" s="14"/>
      <c r="F484" s="14"/>
    </row>
    <row r="485">
      <c r="D485" s="14"/>
      <c r="F485" s="14"/>
    </row>
    <row r="486">
      <c r="D486" s="14"/>
      <c r="F486" s="14"/>
    </row>
    <row r="487">
      <c r="D487" s="14"/>
      <c r="F487" s="14"/>
    </row>
    <row r="488">
      <c r="D488" s="14"/>
      <c r="F488" s="14"/>
    </row>
    <row r="489">
      <c r="D489" s="14"/>
      <c r="F489" s="14"/>
    </row>
    <row r="490">
      <c r="D490" s="14"/>
      <c r="F490" s="14"/>
    </row>
    <row r="491">
      <c r="D491" s="14"/>
      <c r="F491" s="14"/>
    </row>
    <row r="492">
      <c r="D492" s="14"/>
      <c r="F492" s="14"/>
    </row>
    <row r="493">
      <c r="D493" s="14"/>
      <c r="F493" s="14"/>
    </row>
    <row r="494">
      <c r="D494" s="14"/>
      <c r="F494" s="14"/>
    </row>
    <row r="495">
      <c r="D495" s="14"/>
      <c r="F495" s="14"/>
    </row>
    <row r="496">
      <c r="D496" s="14"/>
      <c r="F496" s="14"/>
    </row>
    <row r="497">
      <c r="D497" s="14"/>
      <c r="F497" s="14"/>
    </row>
    <row r="498">
      <c r="D498" s="14"/>
      <c r="F498" s="14"/>
    </row>
    <row r="499">
      <c r="D499" s="14"/>
      <c r="F499" s="14"/>
    </row>
    <row r="500">
      <c r="D500" s="14"/>
      <c r="F500" s="14"/>
    </row>
    <row r="501">
      <c r="D501" s="14"/>
      <c r="F501" s="14"/>
    </row>
    <row r="502">
      <c r="D502" s="14"/>
      <c r="F502" s="14"/>
    </row>
    <row r="503">
      <c r="D503" s="14"/>
      <c r="F503" s="14"/>
    </row>
    <row r="504">
      <c r="D504" s="14"/>
      <c r="F504" s="14"/>
    </row>
    <row r="505">
      <c r="D505" s="14"/>
      <c r="F505" s="14"/>
    </row>
    <row r="506">
      <c r="D506" s="14"/>
      <c r="F506" s="14"/>
    </row>
    <row r="507">
      <c r="D507" s="14"/>
      <c r="F507" s="14"/>
    </row>
    <row r="508">
      <c r="D508" s="14"/>
      <c r="F508" s="14"/>
    </row>
    <row r="509">
      <c r="D509" s="14"/>
      <c r="F509" s="14"/>
    </row>
    <row r="510">
      <c r="D510" s="14"/>
      <c r="F510" s="14"/>
    </row>
    <row r="511">
      <c r="D511" s="14"/>
      <c r="F511" s="14"/>
    </row>
    <row r="512">
      <c r="D512" s="14"/>
      <c r="F512" s="14"/>
    </row>
    <row r="513">
      <c r="D513" s="14"/>
      <c r="F513" s="14"/>
    </row>
    <row r="514">
      <c r="D514" s="14"/>
      <c r="F514" s="14"/>
    </row>
    <row r="515">
      <c r="D515" s="14"/>
      <c r="F515" s="14"/>
    </row>
    <row r="516">
      <c r="D516" s="14"/>
      <c r="F516" s="14"/>
    </row>
    <row r="517">
      <c r="D517" s="14"/>
      <c r="F517" s="14"/>
    </row>
    <row r="518">
      <c r="D518" s="14"/>
      <c r="F518" s="14"/>
    </row>
    <row r="519">
      <c r="D519" s="14"/>
      <c r="F519" s="14"/>
    </row>
    <row r="520">
      <c r="D520" s="14"/>
      <c r="F520" s="14"/>
    </row>
    <row r="521">
      <c r="D521" s="14"/>
      <c r="F521" s="14"/>
    </row>
    <row r="522">
      <c r="D522" s="14"/>
      <c r="F522" s="14"/>
    </row>
    <row r="523">
      <c r="D523" s="14"/>
      <c r="F523" s="14"/>
    </row>
    <row r="524">
      <c r="D524" s="14"/>
      <c r="F524" s="14"/>
    </row>
    <row r="525">
      <c r="D525" s="14"/>
      <c r="F525" s="14"/>
    </row>
    <row r="526">
      <c r="D526" s="14"/>
      <c r="F526" s="14"/>
    </row>
    <row r="527">
      <c r="D527" s="14"/>
      <c r="F527" s="14"/>
    </row>
    <row r="528">
      <c r="D528" s="14"/>
      <c r="F528" s="14"/>
    </row>
    <row r="529">
      <c r="D529" s="14"/>
      <c r="F529" s="14"/>
    </row>
    <row r="530">
      <c r="D530" s="14"/>
      <c r="F530" s="14"/>
    </row>
    <row r="531">
      <c r="D531" s="14"/>
      <c r="F531" s="14"/>
    </row>
    <row r="532">
      <c r="D532" s="14"/>
      <c r="F532" s="14"/>
    </row>
    <row r="533">
      <c r="D533" s="14"/>
      <c r="F533" s="14"/>
    </row>
    <row r="534">
      <c r="D534" s="14"/>
      <c r="F534" s="14"/>
    </row>
    <row r="535">
      <c r="D535" s="14"/>
      <c r="F535" s="14"/>
    </row>
    <row r="536">
      <c r="D536" s="14"/>
      <c r="F536" s="14"/>
    </row>
    <row r="537">
      <c r="D537" s="14"/>
      <c r="F537" s="14"/>
    </row>
    <row r="538">
      <c r="D538" s="14"/>
      <c r="F538" s="14"/>
    </row>
    <row r="539">
      <c r="D539" s="14"/>
      <c r="F539" s="14"/>
    </row>
    <row r="540">
      <c r="D540" s="14"/>
      <c r="F540" s="14"/>
    </row>
    <row r="541">
      <c r="D541" s="14"/>
      <c r="F541" s="14"/>
    </row>
    <row r="542">
      <c r="D542" s="14"/>
      <c r="F542" s="14"/>
    </row>
    <row r="543">
      <c r="D543" s="14"/>
      <c r="F543" s="14"/>
    </row>
    <row r="544">
      <c r="D544" s="14"/>
      <c r="F544" s="14"/>
    </row>
    <row r="545">
      <c r="D545" s="14"/>
      <c r="F545" s="14"/>
    </row>
    <row r="546">
      <c r="D546" s="14"/>
      <c r="F546" s="14"/>
    </row>
    <row r="547">
      <c r="D547" s="14"/>
      <c r="F547" s="14"/>
    </row>
    <row r="548">
      <c r="D548" s="14"/>
      <c r="F548" s="14"/>
    </row>
    <row r="549">
      <c r="D549" s="14"/>
      <c r="F549" s="14"/>
    </row>
    <row r="550">
      <c r="D550" s="14"/>
      <c r="F550" s="14"/>
    </row>
    <row r="551">
      <c r="D551" s="14"/>
      <c r="F551" s="14"/>
    </row>
    <row r="552">
      <c r="D552" s="14"/>
      <c r="F552" s="14"/>
    </row>
    <row r="553">
      <c r="D553" s="14"/>
      <c r="F553" s="14"/>
    </row>
    <row r="554">
      <c r="D554" s="14"/>
      <c r="F554" s="14"/>
    </row>
    <row r="555">
      <c r="D555" s="14"/>
      <c r="F555" s="14"/>
    </row>
    <row r="556">
      <c r="D556" s="14"/>
      <c r="F556" s="14"/>
    </row>
    <row r="557">
      <c r="D557" s="14"/>
      <c r="F557" s="14"/>
    </row>
    <row r="558">
      <c r="D558" s="14"/>
      <c r="F558" s="14"/>
    </row>
    <row r="559">
      <c r="D559" s="14"/>
      <c r="F559" s="14"/>
    </row>
    <row r="560">
      <c r="D560" s="14"/>
      <c r="F560" s="14"/>
    </row>
    <row r="561">
      <c r="D561" s="14"/>
      <c r="F561" s="14"/>
    </row>
    <row r="562">
      <c r="D562" s="14"/>
      <c r="F562" s="14"/>
    </row>
    <row r="563">
      <c r="D563" s="14"/>
      <c r="F563" s="14"/>
    </row>
    <row r="564">
      <c r="D564" s="14"/>
      <c r="F564" s="14"/>
    </row>
    <row r="565">
      <c r="D565" s="14"/>
      <c r="F565" s="14"/>
    </row>
    <row r="566">
      <c r="D566" s="14"/>
      <c r="F566" s="14"/>
    </row>
    <row r="567">
      <c r="D567" s="14"/>
      <c r="F567" s="14"/>
    </row>
    <row r="568">
      <c r="D568" s="14"/>
      <c r="F568" s="14"/>
    </row>
    <row r="569">
      <c r="D569" s="14"/>
      <c r="F569" s="14"/>
    </row>
    <row r="570">
      <c r="D570" s="14"/>
      <c r="F570" s="14"/>
    </row>
    <row r="571">
      <c r="D571" s="14"/>
      <c r="F571" s="14"/>
    </row>
    <row r="572">
      <c r="D572" s="14"/>
      <c r="F572" s="14"/>
    </row>
    <row r="573">
      <c r="D573" s="14"/>
      <c r="F573" s="14"/>
    </row>
    <row r="574">
      <c r="D574" s="14"/>
      <c r="F574" s="14"/>
    </row>
    <row r="575">
      <c r="D575" s="14"/>
      <c r="F575" s="14"/>
    </row>
    <row r="576">
      <c r="D576" s="14"/>
      <c r="F576" s="14"/>
    </row>
    <row r="577">
      <c r="D577" s="14"/>
      <c r="F577" s="14"/>
    </row>
    <row r="578">
      <c r="D578" s="14"/>
      <c r="F578" s="14"/>
    </row>
    <row r="579">
      <c r="D579" s="14"/>
      <c r="F579" s="14"/>
    </row>
    <row r="580">
      <c r="D580" s="14"/>
      <c r="F580" s="14"/>
    </row>
    <row r="581">
      <c r="D581" s="14"/>
      <c r="F581" s="14"/>
    </row>
    <row r="582">
      <c r="D582" s="14"/>
      <c r="F582" s="14"/>
    </row>
    <row r="583">
      <c r="D583" s="14"/>
      <c r="F583" s="14"/>
    </row>
    <row r="584">
      <c r="D584" s="14"/>
      <c r="F584" s="14"/>
    </row>
    <row r="585">
      <c r="D585" s="14"/>
      <c r="F585" s="14"/>
    </row>
    <row r="586">
      <c r="D586" s="14"/>
      <c r="F586" s="14"/>
    </row>
    <row r="587">
      <c r="D587" s="14"/>
      <c r="F587" s="14"/>
    </row>
    <row r="588">
      <c r="D588" s="14"/>
      <c r="F588" s="14"/>
    </row>
    <row r="589">
      <c r="D589" s="14"/>
      <c r="F589" s="14"/>
    </row>
    <row r="590">
      <c r="D590" s="14"/>
      <c r="F590" s="14"/>
    </row>
    <row r="591">
      <c r="D591" s="14"/>
      <c r="F591" s="14"/>
    </row>
    <row r="592">
      <c r="D592" s="14"/>
      <c r="F592" s="14"/>
    </row>
    <row r="593">
      <c r="D593" s="14"/>
      <c r="F593" s="14"/>
    </row>
    <row r="594">
      <c r="D594" s="14"/>
      <c r="F594" s="14"/>
    </row>
    <row r="595">
      <c r="D595" s="14"/>
      <c r="F595" s="14"/>
    </row>
    <row r="596">
      <c r="D596" s="14"/>
      <c r="F596" s="14"/>
    </row>
    <row r="597">
      <c r="D597" s="14"/>
      <c r="F597" s="14"/>
    </row>
    <row r="598">
      <c r="D598" s="14"/>
      <c r="F598" s="14"/>
    </row>
    <row r="599">
      <c r="D599" s="14"/>
      <c r="F599" s="14"/>
    </row>
    <row r="600">
      <c r="D600" s="14"/>
      <c r="F600" s="14"/>
    </row>
    <row r="601">
      <c r="D601" s="14"/>
      <c r="F601" s="14"/>
    </row>
    <row r="602">
      <c r="D602" s="14"/>
      <c r="F602" s="14"/>
    </row>
    <row r="603">
      <c r="D603" s="14"/>
      <c r="F603" s="14"/>
    </row>
    <row r="604">
      <c r="D604" s="14"/>
      <c r="F604" s="14"/>
    </row>
    <row r="605">
      <c r="D605" s="14"/>
      <c r="F605" s="14"/>
    </row>
    <row r="606">
      <c r="D606" s="14"/>
      <c r="F606" s="14"/>
    </row>
    <row r="607">
      <c r="D607" s="14"/>
      <c r="F607" s="14"/>
    </row>
    <row r="608">
      <c r="D608" s="14"/>
      <c r="F608" s="14"/>
    </row>
    <row r="609">
      <c r="D609" s="14"/>
      <c r="F609" s="14"/>
    </row>
    <row r="610">
      <c r="D610" s="14"/>
      <c r="F610" s="14"/>
    </row>
    <row r="611">
      <c r="D611" s="14"/>
      <c r="F611" s="14"/>
    </row>
    <row r="612">
      <c r="D612" s="14"/>
      <c r="F612" s="14"/>
    </row>
    <row r="613">
      <c r="D613" s="14"/>
      <c r="F613" s="14"/>
    </row>
    <row r="614">
      <c r="D614" s="14"/>
      <c r="F614" s="14"/>
    </row>
    <row r="615">
      <c r="D615" s="14"/>
      <c r="F615" s="14"/>
    </row>
    <row r="616">
      <c r="D616" s="14"/>
      <c r="F616" s="14"/>
    </row>
    <row r="617">
      <c r="D617" s="14"/>
      <c r="F617" s="14"/>
    </row>
    <row r="618">
      <c r="D618" s="14"/>
      <c r="F618" s="14"/>
    </row>
    <row r="619">
      <c r="D619" s="14"/>
      <c r="F619" s="14"/>
    </row>
    <row r="620">
      <c r="D620" s="14"/>
      <c r="F620" s="14"/>
    </row>
    <row r="621">
      <c r="D621" s="14"/>
      <c r="F621" s="14"/>
    </row>
    <row r="622">
      <c r="D622" s="14"/>
      <c r="F622" s="14"/>
    </row>
    <row r="623">
      <c r="D623" s="14"/>
      <c r="F623" s="14"/>
    </row>
    <row r="624">
      <c r="D624" s="14"/>
      <c r="F624" s="14"/>
    </row>
    <row r="625">
      <c r="D625" s="14"/>
      <c r="F625" s="14"/>
    </row>
    <row r="626">
      <c r="D626" s="14"/>
      <c r="F626" s="14"/>
    </row>
    <row r="627">
      <c r="D627" s="14"/>
      <c r="F627" s="14"/>
    </row>
    <row r="628">
      <c r="D628" s="14"/>
      <c r="F628" s="14"/>
    </row>
    <row r="629">
      <c r="D629" s="14"/>
      <c r="F629" s="14"/>
    </row>
    <row r="630">
      <c r="D630" s="14"/>
      <c r="F630" s="14"/>
    </row>
    <row r="631">
      <c r="D631" s="14"/>
      <c r="F631" s="14"/>
    </row>
    <row r="632">
      <c r="D632" s="14"/>
      <c r="F632" s="14"/>
    </row>
    <row r="633">
      <c r="D633" s="14"/>
      <c r="F633" s="14"/>
    </row>
    <row r="634">
      <c r="D634" s="14"/>
      <c r="F634" s="14"/>
    </row>
    <row r="635">
      <c r="D635" s="14"/>
      <c r="F635" s="14"/>
    </row>
    <row r="636">
      <c r="D636" s="14"/>
      <c r="F636" s="14"/>
    </row>
    <row r="637">
      <c r="D637" s="14"/>
      <c r="F637" s="14"/>
    </row>
    <row r="638">
      <c r="D638" s="14"/>
      <c r="F638" s="14"/>
    </row>
    <row r="639">
      <c r="D639" s="14"/>
      <c r="F639" s="14"/>
    </row>
    <row r="640">
      <c r="D640" s="14"/>
      <c r="F640" s="14"/>
    </row>
    <row r="641">
      <c r="D641" s="14"/>
      <c r="F641" s="14"/>
    </row>
    <row r="642">
      <c r="D642" s="14"/>
      <c r="F642" s="14"/>
    </row>
    <row r="643">
      <c r="D643" s="14"/>
      <c r="F643" s="14"/>
    </row>
    <row r="644">
      <c r="D644" s="14"/>
      <c r="F644" s="14"/>
    </row>
    <row r="645">
      <c r="D645" s="14"/>
      <c r="F645" s="14"/>
    </row>
    <row r="646">
      <c r="D646" s="14"/>
      <c r="F646" s="14"/>
    </row>
    <row r="647">
      <c r="D647" s="14"/>
      <c r="F647" s="14"/>
    </row>
    <row r="648">
      <c r="D648" s="14"/>
      <c r="F648" s="14"/>
    </row>
    <row r="649">
      <c r="D649" s="14"/>
      <c r="F649" s="14"/>
    </row>
    <row r="650">
      <c r="D650" s="14"/>
      <c r="F650" s="14"/>
    </row>
    <row r="651">
      <c r="D651" s="14"/>
      <c r="F651" s="14"/>
    </row>
    <row r="652">
      <c r="D652" s="14"/>
      <c r="F652" s="14"/>
    </row>
    <row r="653">
      <c r="D653" s="14"/>
      <c r="F653" s="14"/>
    </row>
    <row r="654">
      <c r="D654" s="14"/>
      <c r="F654" s="14"/>
    </row>
    <row r="655">
      <c r="D655" s="14"/>
      <c r="F655" s="14"/>
    </row>
    <row r="656">
      <c r="D656" s="14"/>
      <c r="F656" s="14"/>
    </row>
    <row r="657">
      <c r="D657" s="14"/>
      <c r="F657" s="14"/>
    </row>
    <row r="658">
      <c r="D658" s="14"/>
      <c r="F658" s="14"/>
    </row>
    <row r="659">
      <c r="D659" s="14"/>
      <c r="F659" s="14"/>
    </row>
    <row r="660">
      <c r="D660" s="14"/>
      <c r="F660" s="14"/>
    </row>
    <row r="661">
      <c r="D661" s="14"/>
      <c r="F661" s="14"/>
    </row>
    <row r="662">
      <c r="D662" s="14"/>
      <c r="F662" s="14"/>
    </row>
    <row r="663">
      <c r="D663" s="14"/>
      <c r="F663" s="14"/>
    </row>
    <row r="664">
      <c r="D664" s="14"/>
      <c r="F664" s="14"/>
    </row>
    <row r="665">
      <c r="D665" s="14"/>
      <c r="F665" s="14"/>
    </row>
    <row r="666">
      <c r="D666" s="14"/>
      <c r="F666" s="14"/>
    </row>
    <row r="667">
      <c r="D667" s="14"/>
      <c r="F667" s="14"/>
    </row>
    <row r="668">
      <c r="D668" s="14"/>
      <c r="F668" s="14"/>
    </row>
    <row r="669">
      <c r="D669" s="14"/>
      <c r="F669" s="14"/>
    </row>
    <row r="670">
      <c r="D670" s="14"/>
      <c r="F670" s="14"/>
    </row>
    <row r="671">
      <c r="D671" s="14"/>
      <c r="F671" s="14"/>
    </row>
    <row r="672">
      <c r="D672" s="14"/>
      <c r="F672" s="14"/>
    </row>
    <row r="673">
      <c r="D673" s="14"/>
      <c r="F673" s="14"/>
    </row>
    <row r="674">
      <c r="D674" s="14"/>
      <c r="F674" s="14"/>
    </row>
    <row r="675">
      <c r="D675" s="14"/>
      <c r="F675" s="14"/>
    </row>
    <row r="676">
      <c r="D676" s="14"/>
      <c r="F676" s="14"/>
    </row>
    <row r="677">
      <c r="D677" s="14"/>
      <c r="F677" s="14"/>
    </row>
    <row r="678">
      <c r="D678" s="14"/>
      <c r="F678" s="14"/>
    </row>
    <row r="679">
      <c r="D679" s="14"/>
      <c r="F679" s="14"/>
    </row>
    <row r="680">
      <c r="D680" s="14"/>
      <c r="F680" s="14"/>
    </row>
    <row r="681">
      <c r="D681" s="14"/>
      <c r="F681" s="14"/>
    </row>
    <row r="682">
      <c r="D682" s="14"/>
      <c r="F682" s="14"/>
    </row>
    <row r="683">
      <c r="D683" s="14"/>
      <c r="F683" s="14"/>
    </row>
    <row r="684">
      <c r="D684" s="14"/>
      <c r="F684" s="14"/>
    </row>
    <row r="685">
      <c r="D685" s="14"/>
      <c r="F685" s="14"/>
    </row>
    <row r="686">
      <c r="D686" s="14"/>
      <c r="F686" s="14"/>
    </row>
    <row r="687">
      <c r="D687" s="14"/>
      <c r="F687" s="14"/>
    </row>
    <row r="688">
      <c r="D688" s="14"/>
      <c r="F688" s="14"/>
    </row>
    <row r="689">
      <c r="D689" s="14"/>
      <c r="F689" s="14"/>
    </row>
    <row r="690">
      <c r="D690" s="14"/>
      <c r="F690" s="14"/>
    </row>
    <row r="691">
      <c r="D691" s="14"/>
      <c r="F691" s="14"/>
    </row>
    <row r="692">
      <c r="D692" s="14"/>
      <c r="F692" s="14"/>
    </row>
    <row r="693">
      <c r="D693" s="14"/>
      <c r="F693" s="14"/>
    </row>
    <row r="694">
      <c r="D694" s="14"/>
      <c r="F694" s="14"/>
    </row>
    <row r="695">
      <c r="D695" s="14"/>
      <c r="F695" s="14"/>
    </row>
    <row r="696">
      <c r="D696" s="14"/>
      <c r="F696" s="14"/>
    </row>
    <row r="697">
      <c r="D697" s="14"/>
      <c r="F697" s="14"/>
    </row>
    <row r="698">
      <c r="D698" s="14"/>
      <c r="F698" s="14"/>
    </row>
    <row r="699">
      <c r="D699" s="14"/>
      <c r="F699" s="14"/>
    </row>
    <row r="700">
      <c r="D700" s="14"/>
      <c r="F700" s="14"/>
    </row>
    <row r="701">
      <c r="D701" s="14"/>
      <c r="F701" s="14"/>
    </row>
    <row r="702">
      <c r="D702" s="14"/>
      <c r="F702" s="14"/>
    </row>
    <row r="703">
      <c r="D703" s="14"/>
      <c r="F703" s="14"/>
    </row>
    <row r="704">
      <c r="D704" s="14"/>
      <c r="F704" s="14"/>
    </row>
    <row r="705">
      <c r="D705" s="14"/>
      <c r="F705" s="14"/>
    </row>
    <row r="706">
      <c r="D706" s="14"/>
      <c r="F706" s="14"/>
    </row>
    <row r="707">
      <c r="D707" s="14"/>
      <c r="F707" s="14"/>
    </row>
    <row r="708">
      <c r="D708" s="14"/>
      <c r="F708" s="14"/>
    </row>
    <row r="709">
      <c r="D709" s="14"/>
      <c r="F709" s="14"/>
    </row>
    <row r="710">
      <c r="D710" s="14"/>
      <c r="F710" s="14"/>
    </row>
    <row r="711">
      <c r="D711" s="14"/>
      <c r="F711" s="14"/>
    </row>
    <row r="712">
      <c r="D712" s="14"/>
      <c r="F712" s="14"/>
    </row>
    <row r="713">
      <c r="D713" s="14"/>
      <c r="F713" s="14"/>
    </row>
    <row r="714">
      <c r="D714" s="14"/>
      <c r="F714" s="14"/>
    </row>
    <row r="715">
      <c r="D715" s="14"/>
      <c r="F715" s="14"/>
    </row>
    <row r="716">
      <c r="D716" s="14"/>
      <c r="F716" s="14"/>
    </row>
    <row r="717">
      <c r="D717" s="14"/>
      <c r="F717" s="14"/>
    </row>
    <row r="718">
      <c r="D718" s="14"/>
      <c r="F718" s="14"/>
    </row>
    <row r="719">
      <c r="D719" s="14"/>
      <c r="F719" s="14"/>
    </row>
    <row r="720">
      <c r="D720" s="14"/>
      <c r="F720" s="14"/>
    </row>
    <row r="721">
      <c r="D721" s="14"/>
      <c r="F721" s="14"/>
    </row>
    <row r="722">
      <c r="D722" s="14"/>
      <c r="F722" s="14"/>
    </row>
    <row r="723">
      <c r="D723" s="14"/>
      <c r="F723" s="14"/>
    </row>
    <row r="724">
      <c r="D724" s="14"/>
      <c r="F724" s="14"/>
    </row>
    <row r="725">
      <c r="D725" s="14"/>
      <c r="F725" s="14"/>
    </row>
    <row r="726">
      <c r="D726" s="14"/>
      <c r="F726" s="14"/>
    </row>
    <row r="727">
      <c r="D727" s="14"/>
      <c r="F727" s="14"/>
    </row>
    <row r="728">
      <c r="D728" s="14"/>
      <c r="F728" s="14"/>
    </row>
    <row r="729">
      <c r="D729" s="14"/>
      <c r="F729" s="14"/>
    </row>
    <row r="730">
      <c r="D730" s="14"/>
      <c r="F730" s="14"/>
    </row>
    <row r="731">
      <c r="D731" s="14"/>
      <c r="F731" s="14"/>
    </row>
    <row r="732">
      <c r="D732" s="14"/>
      <c r="F732" s="14"/>
    </row>
    <row r="733">
      <c r="D733" s="14"/>
      <c r="F733" s="14"/>
    </row>
    <row r="734">
      <c r="D734" s="14"/>
      <c r="F734" s="14"/>
    </row>
    <row r="735">
      <c r="D735" s="14"/>
      <c r="F735" s="14"/>
    </row>
    <row r="736">
      <c r="D736" s="14"/>
      <c r="F736" s="14"/>
    </row>
    <row r="737">
      <c r="D737" s="14"/>
      <c r="F737" s="14"/>
    </row>
    <row r="738">
      <c r="D738" s="14"/>
      <c r="F738" s="14"/>
    </row>
    <row r="739">
      <c r="D739" s="14"/>
      <c r="F739" s="14"/>
    </row>
    <row r="740">
      <c r="D740" s="14"/>
      <c r="F740" s="14"/>
    </row>
    <row r="741">
      <c r="D741" s="14"/>
      <c r="F741" s="14"/>
    </row>
    <row r="742">
      <c r="D742" s="14"/>
      <c r="F742" s="14"/>
    </row>
    <row r="743">
      <c r="D743" s="14"/>
      <c r="F743" s="14"/>
    </row>
    <row r="744">
      <c r="D744" s="14"/>
      <c r="F744" s="14"/>
    </row>
    <row r="745">
      <c r="D745" s="14"/>
      <c r="F745" s="14"/>
    </row>
    <row r="746">
      <c r="D746" s="14"/>
      <c r="F746" s="14"/>
    </row>
    <row r="747">
      <c r="D747" s="14"/>
      <c r="F747" s="14"/>
    </row>
    <row r="748">
      <c r="D748" s="14"/>
      <c r="F748" s="14"/>
    </row>
    <row r="749">
      <c r="D749" s="14"/>
      <c r="F749" s="14"/>
    </row>
    <row r="750">
      <c r="D750" s="14"/>
      <c r="F750" s="14"/>
    </row>
    <row r="751">
      <c r="D751" s="14"/>
      <c r="F751" s="14"/>
    </row>
    <row r="752">
      <c r="D752" s="14"/>
      <c r="F752" s="14"/>
    </row>
    <row r="753">
      <c r="D753" s="14"/>
      <c r="F753" s="14"/>
    </row>
    <row r="754">
      <c r="D754" s="14"/>
      <c r="F754" s="14"/>
    </row>
    <row r="755">
      <c r="D755" s="14"/>
      <c r="F755" s="14"/>
    </row>
    <row r="756">
      <c r="D756" s="14"/>
      <c r="F756" s="14"/>
    </row>
    <row r="757">
      <c r="D757" s="14"/>
      <c r="F757" s="14"/>
    </row>
    <row r="758">
      <c r="D758" s="14"/>
      <c r="F758" s="14"/>
    </row>
    <row r="759">
      <c r="D759" s="14"/>
      <c r="F759" s="14"/>
    </row>
    <row r="760">
      <c r="D760" s="14"/>
      <c r="F760" s="14"/>
    </row>
    <row r="761">
      <c r="D761" s="14"/>
      <c r="F761" s="14"/>
    </row>
    <row r="762">
      <c r="D762" s="14"/>
      <c r="F762" s="14"/>
    </row>
    <row r="763">
      <c r="D763" s="14"/>
      <c r="F763" s="14"/>
    </row>
    <row r="764">
      <c r="D764" s="14"/>
      <c r="F764" s="14"/>
    </row>
    <row r="765">
      <c r="D765" s="14"/>
      <c r="F765" s="14"/>
    </row>
    <row r="766">
      <c r="D766" s="14"/>
      <c r="F766" s="14"/>
    </row>
    <row r="767">
      <c r="D767" s="14"/>
      <c r="F767" s="14"/>
    </row>
    <row r="768">
      <c r="D768" s="14"/>
      <c r="F768" s="14"/>
    </row>
    <row r="769">
      <c r="D769" s="14"/>
      <c r="F769" s="14"/>
    </row>
    <row r="770">
      <c r="D770" s="14"/>
      <c r="F770" s="14"/>
    </row>
    <row r="771">
      <c r="D771" s="14"/>
      <c r="F771" s="14"/>
    </row>
    <row r="772">
      <c r="D772" s="14"/>
      <c r="F772" s="14"/>
    </row>
    <row r="773">
      <c r="D773" s="14"/>
      <c r="F773" s="14"/>
    </row>
    <row r="774">
      <c r="D774" s="14"/>
      <c r="F774" s="14"/>
    </row>
    <row r="775">
      <c r="D775" s="14"/>
      <c r="F775" s="14"/>
    </row>
    <row r="776">
      <c r="D776" s="14"/>
      <c r="F776" s="14"/>
    </row>
    <row r="777">
      <c r="D777" s="14"/>
      <c r="F777" s="14"/>
    </row>
    <row r="778">
      <c r="D778" s="14"/>
      <c r="F778" s="14"/>
    </row>
    <row r="779">
      <c r="D779" s="14"/>
      <c r="F779" s="14"/>
    </row>
    <row r="780">
      <c r="D780" s="14"/>
      <c r="F780" s="14"/>
    </row>
    <row r="781">
      <c r="D781" s="14"/>
      <c r="F781" s="14"/>
    </row>
    <row r="782">
      <c r="D782" s="14"/>
      <c r="F782" s="14"/>
    </row>
    <row r="783">
      <c r="D783" s="14"/>
      <c r="F783" s="14"/>
    </row>
    <row r="784">
      <c r="D784" s="14"/>
      <c r="F784" s="14"/>
    </row>
    <row r="785">
      <c r="D785" s="14"/>
      <c r="F785" s="14"/>
    </row>
    <row r="786">
      <c r="D786" s="14"/>
      <c r="F786" s="14"/>
    </row>
    <row r="787">
      <c r="D787" s="14"/>
      <c r="F787" s="14"/>
    </row>
    <row r="788">
      <c r="D788" s="14"/>
      <c r="F788" s="14"/>
    </row>
    <row r="789">
      <c r="D789" s="14"/>
      <c r="F789" s="14"/>
    </row>
    <row r="790">
      <c r="D790" s="14"/>
      <c r="F790" s="14"/>
    </row>
    <row r="791">
      <c r="D791" s="14"/>
      <c r="F791" s="14"/>
    </row>
    <row r="792">
      <c r="D792" s="14"/>
      <c r="F792" s="14"/>
    </row>
    <row r="793">
      <c r="D793" s="14"/>
      <c r="F793" s="14"/>
    </row>
    <row r="794">
      <c r="D794" s="14"/>
      <c r="F794" s="14"/>
    </row>
    <row r="795">
      <c r="D795" s="14"/>
      <c r="F795" s="14"/>
    </row>
    <row r="796">
      <c r="D796" s="14"/>
      <c r="F796" s="14"/>
    </row>
    <row r="797">
      <c r="D797" s="14"/>
      <c r="F797" s="14"/>
    </row>
    <row r="798">
      <c r="D798" s="14"/>
      <c r="F798" s="14"/>
    </row>
    <row r="799">
      <c r="D799" s="14"/>
      <c r="F799" s="14"/>
    </row>
    <row r="800">
      <c r="D800" s="14"/>
      <c r="F800" s="14"/>
    </row>
    <row r="801">
      <c r="D801" s="14"/>
      <c r="F801" s="14"/>
    </row>
    <row r="802">
      <c r="D802" s="14"/>
      <c r="F802" s="14"/>
    </row>
    <row r="803">
      <c r="D803" s="14"/>
      <c r="F803" s="14"/>
    </row>
    <row r="804">
      <c r="D804" s="14"/>
      <c r="F804" s="14"/>
    </row>
    <row r="805">
      <c r="D805" s="14"/>
      <c r="F805" s="14"/>
    </row>
    <row r="806">
      <c r="D806" s="14"/>
      <c r="F806" s="14"/>
    </row>
    <row r="807">
      <c r="D807" s="14"/>
      <c r="F807" s="14"/>
    </row>
    <row r="808">
      <c r="D808" s="14"/>
      <c r="F808" s="14"/>
    </row>
    <row r="809">
      <c r="D809" s="14"/>
      <c r="F809" s="14"/>
    </row>
    <row r="810">
      <c r="D810" s="14"/>
      <c r="F810" s="14"/>
    </row>
    <row r="811">
      <c r="D811" s="14"/>
      <c r="F811" s="14"/>
    </row>
    <row r="812">
      <c r="D812" s="14"/>
      <c r="F812" s="14"/>
    </row>
    <row r="813">
      <c r="D813" s="14"/>
      <c r="F813" s="14"/>
    </row>
    <row r="814">
      <c r="D814" s="14"/>
      <c r="F814" s="14"/>
    </row>
    <row r="815">
      <c r="D815" s="14"/>
      <c r="F815" s="14"/>
    </row>
    <row r="816">
      <c r="D816" s="14"/>
      <c r="F816" s="14"/>
    </row>
    <row r="817">
      <c r="D817" s="14"/>
      <c r="F817" s="14"/>
    </row>
    <row r="818">
      <c r="D818" s="14"/>
      <c r="F818" s="14"/>
    </row>
    <row r="819">
      <c r="D819" s="14"/>
      <c r="F819" s="14"/>
    </row>
    <row r="820">
      <c r="D820" s="14"/>
      <c r="F820" s="14"/>
    </row>
    <row r="821">
      <c r="D821" s="14"/>
      <c r="F821" s="14"/>
    </row>
    <row r="822">
      <c r="D822" s="14"/>
      <c r="F822" s="14"/>
    </row>
    <row r="823">
      <c r="D823" s="14"/>
      <c r="F823" s="14"/>
    </row>
    <row r="824">
      <c r="D824" s="14"/>
      <c r="F824" s="14"/>
    </row>
    <row r="825">
      <c r="D825" s="14"/>
      <c r="F825" s="14"/>
    </row>
    <row r="826">
      <c r="D826" s="14"/>
      <c r="F826" s="14"/>
    </row>
    <row r="827">
      <c r="D827" s="14"/>
      <c r="F827" s="14"/>
    </row>
    <row r="828">
      <c r="D828" s="14"/>
      <c r="F828" s="14"/>
    </row>
    <row r="829">
      <c r="D829" s="14"/>
      <c r="F829" s="14"/>
    </row>
    <row r="830">
      <c r="D830" s="14"/>
      <c r="F830" s="14"/>
    </row>
    <row r="831">
      <c r="D831" s="14"/>
      <c r="F831" s="14"/>
    </row>
    <row r="832">
      <c r="D832" s="14"/>
      <c r="F832" s="14"/>
    </row>
    <row r="833">
      <c r="D833" s="14"/>
      <c r="F833" s="14"/>
    </row>
    <row r="834">
      <c r="D834" s="14"/>
      <c r="F834" s="14"/>
    </row>
    <row r="835">
      <c r="D835" s="14"/>
      <c r="F835" s="14"/>
    </row>
    <row r="836">
      <c r="D836" s="14"/>
      <c r="F836" s="14"/>
    </row>
    <row r="837">
      <c r="D837" s="14"/>
      <c r="F837" s="14"/>
    </row>
    <row r="838">
      <c r="D838" s="14"/>
      <c r="F838" s="14"/>
    </row>
    <row r="839">
      <c r="D839" s="14"/>
      <c r="F839" s="14"/>
    </row>
    <row r="840">
      <c r="D840" s="14"/>
      <c r="F840" s="14"/>
    </row>
    <row r="841">
      <c r="D841" s="14"/>
      <c r="F841" s="14"/>
    </row>
    <row r="842">
      <c r="D842" s="14"/>
      <c r="F842" s="14"/>
    </row>
    <row r="843">
      <c r="D843" s="14"/>
      <c r="F843" s="14"/>
    </row>
    <row r="844">
      <c r="D844" s="14"/>
      <c r="F844" s="14"/>
    </row>
    <row r="845">
      <c r="D845" s="14"/>
      <c r="F845" s="14"/>
    </row>
    <row r="846">
      <c r="D846" s="14"/>
      <c r="F846" s="14"/>
    </row>
    <row r="847">
      <c r="D847" s="14"/>
      <c r="F847" s="14"/>
    </row>
    <row r="848">
      <c r="D848" s="14"/>
      <c r="F848" s="14"/>
    </row>
    <row r="849">
      <c r="D849" s="14"/>
      <c r="F849" s="14"/>
    </row>
    <row r="850">
      <c r="D850" s="14"/>
      <c r="F850" s="14"/>
    </row>
    <row r="851">
      <c r="D851" s="14"/>
      <c r="F851" s="14"/>
    </row>
    <row r="852">
      <c r="D852" s="14"/>
      <c r="F852" s="14"/>
    </row>
    <row r="853">
      <c r="D853" s="14"/>
      <c r="F853" s="14"/>
    </row>
    <row r="854">
      <c r="D854" s="14"/>
      <c r="F854" s="14"/>
    </row>
    <row r="855">
      <c r="D855" s="14"/>
      <c r="F855" s="14"/>
    </row>
    <row r="856">
      <c r="D856" s="14"/>
      <c r="F856" s="14"/>
    </row>
    <row r="857">
      <c r="D857" s="14"/>
      <c r="F857" s="14"/>
    </row>
    <row r="858">
      <c r="D858" s="14"/>
      <c r="F858" s="14"/>
    </row>
    <row r="859">
      <c r="D859" s="14"/>
      <c r="F859" s="14"/>
    </row>
    <row r="860">
      <c r="D860" s="14"/>
      <c r="F860" s="14"/>
    </row>
    <row r="861">
      <c r="D861" s="14"/>
      <c r="F861" s="14"/>
    </row>
    <row r="862">
      <c r="D862" s="14"/>
      <c r="F862" s="14"/>
    </row>
    <row r="863">
      <c r="D863" s="14"/>
      <c r="F863" s="14"/>
    </row>
    <row r="864">
      <c r="D864" s="14"/>
      <c r="F864" s="14"/>
    </row>
    <row r="865">
      <c r="D865" s="14"/>
      <c r="F865" s="14"/>
    </row>
    <row r="866">
      <c r="D866" s="14"/>
      <c r="F866" s="14"/>
    </row>
    <row r="867">
      <c r="D867" s="14"/>
      <c r="F867" s="14"/>
    </row>
    <row r="868">
      <c r="D868" s="14"/>
      <c r="F868" s="14"/>
    </row>
    <row r="869">
      <c r="D869" s="14"/>
      <c r="F869" s="14"/>
    </row>
    <row r="870">
      <c r="D870" s="14"/>
      <c r="F870" s="14"/>
    </row>
    <row r="871">
      <c r="D871" s="14"/>
      <c r="F871" s="14"/>
    </row>
    <row r="872">
      <c r="D872" s="14"/>
      <c r="F872" s="14"/>
    </row>
    <row r="873">
      <c r="D873" s="14"/>
      <c r="F873" s="14"/>
    </row>
    <row r="874">
      <c r="D874" s="14"/>
      <c r="F874" s="14"/>
    </row>
    <row r="875">
      <c r="D875" s="14"/>
      <c r="F875" s="14"/>
    </row>
    <row r="876">
      <c r="D876" s="14"/>
      <c r="F876" s="14"/>
    </row>
    <row r="877">
      <c r="D877" s="14"/>
      <c r="F877" s="14"/>
    </row>
    <row r="878">
      <c r="D878" s="14"/>
      <c r="F878" s="14"/>
    </row>
    <row r="879">
      <c r="D879" s="14"/>
      <c r="F879" s="14"/>
    </row>
    <row r="880">
      <c r="D880" s="14"/>
      <c r="F880" s="14"/>
    </row>
    <row r="881">
      <c r="D881" s="14"/>
      <c r="F881" s="14"/>
    </row>
    <row r="882">
      <c r="D882" s="14"/>
      <c r="F882" s="14"/>
    </row>
    <row r="883">
      <c r="D883" s="14"/>
      <c r="F883" s="14"/>
    </row>
    <row r="884">
      <c r="D884" s="14"/>
      <c r="F884" s="14"/>
    </row>
    <row r="885">
      <c r="D885" s="14"/>
      <c r="F885" s="14"/>
    </row>
    <row r="886">
      <c r="D886" s="14"/>
      <c r="F886" s="14"/>
    </row>
    <row r="887">
      <c r="D887" s="14"/>
      <c r="F887" s="14"/>
    </row>
    <row r="888">
      <c r="D888" s="14"/>
      <c r="F888" s="14"/>
    </row>
    <row r="889">
      <c r="D889" s="14"/>
      <c r="F889" s="14"/>
    </row>
    <row r="890">
      <c r="D890" s="14"/>
      <c r="F890" s="14"/>
    </row>
    <row r="891">
      <c r="D891" s="14"/>
      <c r="F891" s="14"/>
    </row>
    <row r="892">
      <c r="D892" s="14"/>
      <c r="F892" s="14"/>
    </row>
    <row r="893">
      <c r="D893" s="14"/>
      <c r="F893" s="14"/>
    </row>
    <row r="894">
      <c r="D894" s="14"/>
      <c r="F894" s="14"/>
    </row>
    <row r="895">
      <c r="D895" s="14"/>
      <c r="F895" s="14"/>
    </row>
    <row r="896">
      <c r="D896" s="14"/>
      <c r="F896" s="14"/>
    </row>
    <row r="897">
      <c r="D897" s="14"/>
      <c r="F897" s="14"/>
    </row>
    <row r="898">
      <c r="D898" s="14"/>
      <c r="F898" s="14"/>
    </row>
    <row r="899">
      <c r="D899" s="14"/>
      <c r="F899" s="14"/>
    </row>
    <row r="900">
      <c r="D900" s="14"/>
      <c r="F900" s="14"/>
    </row>
    <row r="901">
      <c r="D901" s="14"/>
      <c r="F901" s="14"/>
    </row>
    <row r="902">
      <c r="D902" s="14"/>
      <c r="F902" s="14"/>
    </row>
    <row r="903">
      <c r="D903" s="14"/>
      <c r="F903" s="14"/>
    </row>
    <row r="904">
      <c r="D904" s="14"/>
      <c r="F904" s="14"/>
    </row>
    <row r="905">
      <c r="D905" s="14"/>
      <c r="F905" s="14"/>
    </row>
    <row r="906">
      <c r="D906" s="14"/>
      <c r="F906" s="14"/>
    </row>
    <row r="907">
      <c r="D907" s="14"/>
      <c r="F907" s="14"/>
    </row>
    <row r="908">
      <c r="D908" s="14"/>
      <c r="F908" s="14"/>
    </row>
    <row r="909">
      <c r="D909" s="14"/>
      <c r="F909" s="14"/>
    </row>
    <row r="910">
      <c r="D910" s="14"/>
      <c r="F910" s="14"/>
    </row>
    <row r="911">
      <c r="D911" s="14"/>
      <c r="F911" s="14"/>
    </row>
    <row r="912">
      <c r="D912" s="14"/>
      <c r="F912" s="14"/>
    </row>
    <row r="913">
      <c r="D913" s="14"/>
      <c r="F913" s="14"/>
    </row>
    <row r="914">
      <c r="D914" s="14"/>
      <c r="F914" s="14"/>
    </row>
    <row r="915">
      <c r="D915" s="14"/>
      <c r="F915" s="14"/>
    </row>
    <row r="916">
      <c r="D916" s="14"/>
      <c r="F916" s="14"/>
    </row>
    <row r="917">
      <c r="D917" s="14"/>
      <c r="F917" s="14"/>
    </row>
    <row r="918">
      <c r="D918" s="14"/>
      <c r="F918" s="14"/>
    </row>
    <row r="919">
      <c r="D919" s="14"/>
      <c r="F919" s="14"/>
    </row>
    <row r="920">
      <c r="D920" s="14"/>
      <c r="F920" s="14"/>
    </row>
    <row r="921">
      <c r="D921" s="14"/>
      <c r="F921" s="14"/>
    </row>
    <row r="922">
      <c r="D922" s="14"/>
      <c r="F922" s="14"/>
    </row>
    <row r="923">
      <c r="D923" s="14"/>
      <c r="F923" s="14"/>
    </row>
    <row r="924">
      <c r="D924" s="14"/>
      <c r="F924" s="14"/>
    </row>
    <row r="925">
      <c r="D925" s="14"/>
      <c r="F925" s="14"/>
    </row>
    <row r="926">
      <c r="D926" s="14"/>
      <c r="F926" s="14"/>
    </row>
    <row r="927">
      <c r="D927" s="14"/>
      <c r="F927" s="14"/>
    </row>
    <row r="928">
      <c r="D928" s="14"/>
      <c r="F928" s="14"/>
    </row>
    <row r="929">
      <c r="D929" s="14"/>
      <c r="F929" s="14"/>
    </row>
    <row r="930">
      <c r="D930" s="14"/>
      <c r="F930" s="14"/>
    </row>
    <row r="931">
      <c r="D931" s="14"/>
      <c r="F931" s="14"/>
    </row>
    <row r="932">
      <c r="D932" s="14"/>
      <c r="F932" s="14"/>
    </row>
    <row r="933">
      <c r="D933" s="14"/>
      <c r="F933" s="14"/>
    </row>
    <row r="934">
      <c r="D934" s="14"/>
      <c r="F934" s="14"/>
    </row>
    <row r="935">
      <c r="D935" s="14"/>
      <c r="F935" s="14"/>
    </row>
    <row r="936">
      <c r="D936" s="14"/>
      <c r="F936" s="14"/>
    </row>
    <row r="937">
      <c r="D937" s="14"/>
      <c r="F937" s="14"/>
    </row>
    <row r="938">
      <c r="D938" s="14"/>
      <c r="F938" s="14"/>
    </row>
    <row r="939">
      <c r="D939" s="14"/>
      <c r="F939" s="14"/>
    </row>
    <row r="940">
      <c r="D940" s="14"/>
      <c r="F940" s="14"/>
    </row>
    <row r="941">
      <c r="D941" s="14"/>
      <c r="F941" s="14"/>
    </row>
    <row r="942">
      <c r="D942" s="14"/>
      <c r="F942" s="14"/>
    </row>
    <row r="943">
      <c r="D943" s="14"/>
      <c r="F943" s="14"/>
    </row>
    <row r="944">
      <c r="D944" s="14"/>
      <c r="F944" s="14"/>
    </row>
    <row r="945">
      <c r="D945" s="14"/>
      <c r="F945" s="14"/>
    </row>
    <row r="946">
      <c r="D946" s="14"/>
      <c r="F946" s="14"/>
    </row>
    <row r="947">
      <c r="D947" s="14"/>
      <c r="F947" s="14"/>
    </row>
    <row r="948">
      <c r="D948" s="14"/>
      <c r="F948" s="14"/>
    </row>
    <row r="949">
      <c r="D949" s="14"/>
      <c r="F949" s="14"/>
    </row>
    <row r="950">
      <c r="D950" s="14"/>
      <c r="F950" s="14"/>
    </row>
    <row r="951">
      <c r="D951" s="14"/>
      <c r="F951" s="14"/>
    </row>
    <row r="952">
      <c r="D952" s="14"/>
      <c r="F952" s="14"/>
    </row>
    <row r="953">
      <c r="D953" s="14"/>
      <c r="F953" s="14"/>
    </row>
    <row r="954">
      <c r="D954" s="14"/>
      <c r="F954" s="14"/>
    </row>
    <row r="955">
      <c r="D955" s="14"/>
      <c r="F955" s="14"/>
    </row>
    <row r="956">
      <c r="D956" s="14"/>
      <c r="F956" s="14"/>
    </row>
    <row r="957">
      <c r="D957" s="14"/>
      <c r="F957" s="14"/>
    </row>
    <row r="958">
      <c r="D958" s="14"/>
      <c r="F958" s="14"/>
    </row>
    <row r="959">
      <c r="D959" s="14"/>
      <c r="F959" s="14"/>
    </row>
    <row r="960">
      <c r="D960" s="14"/>
      <c r="F960" s="14"/>
    </row>
    <row r="961">
      <c r="D961" s="14"/>
      <c r="F961" s="14"/>
    </row>
    <row r="962">
      <c r="D962" s="14"/>
      <c r="F962" s="14"/>
    </row>
    <row r="963">
      <c r="D963" s="14"/>
      <c r="F963" s="14"/>
    </row>
    <row r="964">
      <c r="D964" s="14"/>
      <c r="F964" s="14"/>
    </row>
    <row r="965">
      <c r="D965" s="14"/>
      <c r="F965" s="14"/>
    </row>
    <row r="966">
      <c r="D966" s="14"/>
      <c r="F966" s="14"/>
    </row>
    <row r="967">
      <c r="D967" s="14"/>
      <c r="F967" s="14"/>
    </row>
    <row r="968">
      <c r="D968" s="14"/>
      <c r="F968" s="14"/>
    </row>
    <row r="969">
      <c r="D969" s="14"/>
      <c r="F969" s="14"/>
    </row>
    <row r="970">
      <c r="D970" s="14"/>
      <c r="F970" s="14"/>
    </row>
    <row r="971">
      <c r="D971" s="14"/>
      <c r="F971" s="14"/>
    </row>
    <row r="972">
      <c r="D972" s="14"/>
      <c r="F972" s="14"/>
    </row>
    <row r="973">
      <c r="D973" s="14"/>
      <c r="F973" s="14"/>
    </row>
    <row r="974">
      <c r="D974" s="14"/>
      <c r="F974" s="14"/>
    </row>
    <row r="975">
      <c r="D975" s="14"/>
      <c r="F975" s="14"/>
    </row>
    <row r="976">
      <c r="D976" s="14"/>
      <c r="F976" s="14"/>
    </row>
    <row r="977">
      <c r="D977" s="14"/>
      <c r="F977" s="14"/>
    </row>
    <row r="978">
      <c r="D978" s="14"/>
      <c r="F978" s="14"/>
    </row>
    <row r="979">
      <c r="D979" s="14"/>
      <c r="F979" s="14"/>
    </row>
    <row r="980">
      <c r="D980" s="14"/>
      <c r="F980" s="14"/>
    </row>
    <row r="981">
      <c r="D981" s="14"/>
      <c r="F981" s="14"/>
    </row>
    <row r="982">
      <c r="D982" s="14"/>
      <c r="F982" s="14"/>
    </row>
    <row r="983">
      <c r="D983" s="14"/>
      <c r="F983" s="14"/>
    </row>
    <row r="984">
      <c r="D984" s="14"/>
      <c r="F984" s="14"/>
    </row>
    <row r="985">
      <c r="D985" s="14"/>
      <c r="F985" s="14"/>
    </row>
    <row r="986">
      <c r="D986" s="14"/>
      <c r="F986" s="14"/>
    </row>
    <row r="987">
      <c r="D987" s="14"/>
      <c r="F987" s="14"/>
    </row>
    <row r="988">
      <c r="D988" s="14"/>
      <c r="F988" s="14"/>
    </row>
    <row r="989">
      <c r="D989" s="14"/>
      <c r="F989" s="14"/>
    </row>
    <row r="990">
      <c r="D990" s="14"/>
      <c r="F990" s="14"/>
    </row>
    <row r="991">
      <c r="D991" s="14"/>
      <c r="F991" s="14"/>
    </row>
    <row r="992">
      <c r="D992" s="14"/>
      <c r="F992" s="14"/>
    </row>
    <row r="993">
      <c r="D993" s="14"/>
      <c r="F993" s="14"/>
    </row>
    <row r="994">
      <c r="D994" s="14"/>
      <c r="F994" s="14"/>
    </row>
    <row r="995">
      <c r="D995" s="14"/>
      <c r="F995" s="14"/>
    </row>
    <row r="996">
      <c r="D996" s="14"/>
      <c r="F996" s="14"/>
    </row>
    <row r="997">
      <c r="D997" s="14"/>
      <c r="F997" s="14"/>
    </row>
    <row r="998">
      <c r="D998" s="14"/>
      <c r="F998" s="14"/>
    </row>
    <row r="999">
      <c r="D999" s="14"/>
      <c r="F999" s="14"/>
    </row>
    <row r="1000">
      <c r="D1000" s="14"/>
      <c r="F1000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4.75"/>
    <col customWidth="1" min="4" max="4" width="18.25"/>
    <col customWidth="1" min="5" max="5" width="14.25"/>
    <col customWidth="1" min="6" max="6" width="15.88"/>
    <col customWidth="1" min="10" max="10" width="3.5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50" t="s">
        <v>6</v>
      </c>
      <c r="J1" s="1" t="s">
        <v>7</v>
      </c>
    </row>
    <row r="2">
      <c r="A2" s="1" t="s">
        <v>25</v>
      </c>
      <c r="B2" s="1" t="s">
        <v>322</v>
      </c>
      <c r="C2" s="1" t="s">
        <v>323</v>
      </c>
      <c r="D2" s="11">
        <v>100000.0</v>
      </c>
      <c r="F2" s="14"/>
    </row>
    <row r="3">
      <c r="D3" s="14"/>
      <c r="E3" s="1" t="s">
        <v>324</v>
      </c>
      <c r="F3" s="11">
        <v>15000.0</v>
      </c>
    </row>
    <row r="4">
      <c r="D4" s="14"/>
      <c r="E4" s="1" t="s">
        <v>293</v>
      </c>
      <c r="F4" s="11">
        <v>15000.0</v>
      </c>
    </row>
    <row r="5">
      <c r="D5" s="14"/>
      <c r="E5" s="1" t="s">
        <v>243</v>
      </c>
      <c r="F5" s="11">
        <v>15000.0</v>
      </c>
    </row>
    <row r="6">
      <c r="D6" s="14"/>
      <c r="F6" s="14"/>
    </row>
    <row r="7">
      <c r="D7" s="14"/>
      <c r="F7" s="14"/>
    </row>
    <row r="8">
      <c r="D8" s="14"/>
      <c r="F8" s="14"/>
    </row>
    <row r="9">
      <c r="D9" s="14"/>
      <c r="F9" s="14"/>
    </row>
    <row r="10">
      <c r="D10" s="14"/>
      <c r="F10" s="14"/>
    </row>
    <row r="11">
      <c r="D11" s="14"/>
      <c r="F11" s="14"/>
    </row>
    <row r="12">
      <c r="D12" s="14"/>
      <c r="F12" s="14"/>
    </row>
    <row r="13">
      <c r="D13" s="14"/>
      <c r="F13" s="14"/>
      <c r="H13" s="1" t="s">
        <v>26</v>
      </c>
    </row>
    <row r="14">
      <c r="D14" s="14">
        <f>SUM(D2:D12)</f>
        <v>100000</v>
      </c>
      <c r="F14" s="14">
        <f>SUM(F2:F12)</f>
        <v>45000</v>
      </c>
      <c r="H14" s="18">
        <f>F14/D14</f>
        <v>0.45</v>
      </c>
    </row>
    <row r="15">
      <c r="D15" s="14"/>
      <c r="F15" s="14"/>
    </row>
    <row r="16">
      <c r="D16" s="14"/>
      <c r="F16" s="14"/>
    </row>
    <row r="17">
      <c r="D17" s="14"/>
      <c r="F17" s="14"/>
    </row>
    <row r="18">
      <c r="D18" s="14"/>
      <c r="F18" s="14"/>
    </row>
    <row r="19">
      <c r="D19" s="14"/>
      <c r="F19" s="14"/>
    </row>
    <row r="20">
      <c r="D20" s="14"/>
      <c r="F20" s="14"/>
    </row>
    <row r="21">
      <c r="D21" s="14"/>
      <c r="F21" s="14"/>
    </row>
    <row r="22">
      <c r="D22" s="14"/>
      <c r="F22" s="14"/>
    </row>
    <row r="23">
      <c r="D23" s="14"/>
      <c r="F23" s="14"/>
    </row>
    <row r="24">
      <c r="D24" s="14"/>
      <c r="F24" s="14"/>
    </row>
    <row r="25">
      <c r="D25" s="14"/>
      <c r="F25" s="14"/>
    </row>
    <row r="26">
      <c r="D26" s="14"/>
      <c r="F26" s="14"/>
    </row>
    <row r="27">
      <c r="D27" s="14"/>
      <c r="F27" s="14"/>
    </row>
    <row r="28">
      <c r="D28" s="14"/>
      <c r="F28" s="14"/>
    </row>
    <row r="29">
      <c r="D29" s="14"/>
      <c r="F29" s="14"/>
    </row>
    <row r="30">
      <c r="D30" s="14"/>
      <c r="F30" s="14"/>
    </row>
    <row r="31">
      <c r="D31" s="14"/>
      <c r="F31" s="14"/>
    </row>
    <row r="32">
      <c r="D32" s="14"/>
      <c r="F32" s="14"/>
    </row>
    <row r="33">
      <c r="D33" s="14"/>
      <c r="F33" s="14"/>
    </row>
    <row r="34">
      <c r="D34" s="14"/>
      <c r="F34" s="14"/>
    </row>
    <row r="35">
      <c r="D35" s="14"/>
      <c r="F35" s="14"/>
    </row>
    <row r="36">
      <c r="D36" s="14"/>
      <c r="F36" s="14"/>
    </row>
    <row r="37">
      <c r="D37" s="14"/>
      <c r="F37" s="14"/>
    </row>
    <row r="38">
      <c r="D38" s="14"/>
      <c r="F38" s="14"/>
    </row>
    <row r="39">
      <c r="D39" s="14"/>
      <c r="F39" s="14"/>
    </row>
    <row r="40">
      <c r="D40" s="14"/>
      <c r="F40" s="14"/>
    </row>
    <row r="41">
      <c r="D41" s="14"/>
      <c r="F41" s="14"/>
    </row>
    <row r="42">
      <c r="D42" s="14"/>
      <c r="F42" s="14"/>
    </row>
    <row r="43">
      <c r="D43" s="14"/>
      <c r="F43" s="14"/>
    </row>
    <row r="44">
      <c r="D44" s="14"/>
      <c r="F44" s="14"/>
    </row>
    <row r="45">
      <c r="D45" s="14"/>
      <c r="F45" s="14"/>
    </row>
    <row r="46">
      <c r="D46" s="14"/>
      <c r="F46" s="14"/>
    </row>
    <row r="47">
      <c r="D47" s="14"/>
      <c r="F47" s="14"/>
    </row>
    <row r="48">
      <c r="D48" s="14"/>
      <c r="F48" s="14"/>
    </row>
    <row r="49">
      <c r="D49" s="14"/>
      <c r="F49" s="14"/>
    </row>
    <row r="50">
      <c r="D50" s="14"/>
      <c r="F50" s="14"/>
    </row>
    <row r="51">
      <c r="D51" s="14"/>
      <c r="F51" s="14"/>
    </row>
    <row r="52">
      <c r="D52" s="14"/>
      <c r="F52" s="14"/>
    </row>
    <row r="53">
      <c r="D53" s="14"/>
      <c r="F53" s="14"/>
    </row>
    <row r="54">
      <c r="D54" s="14"/>
      <c r="F54" s="14"/>
    </row>
    <row r="55">
      <c r="D55" s="14"/>
      <c r="F55" s="14"/>
    </row>
    <row r="56">
      <c r="D56" s="14"/>
      <c r="F56" s="14"/>
    </row>
    <row r="57">
      <c r="D57" s="14"/>
      <c r="F57" s="14"/>
    </row>
    <row r="58">
      <c r="D58" s="14"/>
      <c r="F58" s="14"/>
    </row>
    <row r="59">
      <c r="D59" s="14"/>
      <c r="F59" s="14"/>
    </row>
    <row r="60">
      <c r="D60" s="14"/>
      <c r="F60" s="14"/>
    </row>
    <row r="61">
      <c r="D61" s="14"/>
      <c r="F61" s="14"/>
    </row>
    <row r="62">
      <c r="D62" s="14"/>
      <c r="F62" s="14"/>
    </row>
    <row r="63">
      <c r="D63" s="14"/>
      <c r="F63" s="14"/>
    </row>
    <row r="64">
      <c r="D64" s="14"/>
      <c r="F64" s="14"/>
    </row>
    <row r="65">
      <c r="D65" s="14"/>
      <c r="F65" s="14"/>
    </row>
    <row r="66">
      <c r="D66" s="14"/>
      <c r="F66" s="14"/>
    </row>
    <row r="67">
      <c r="D67" s="14"/>
      <c r="F67" s="14"/>
    </row>
    <row r="68">
      <c r="D68" s="14"/>
      <c r="F68" s="14"/>
    </row>
    <row r="69">
      <c r="D69" s="14"/>
      <c r="F69" s="14"/>
    </row>
    <row r="70">
      <c r="D70" s="14"/>
      <c r="F70" s="14"/>
    </row>
    <row r="71">
      <c r="D71" s="14"/>
      <c r="F71" s="14"/>
    </row>
    <row r="72">
      <c r="D72" s="14"/>
      <c r="F72" s="14"/>
    </row>
    <row r="73">
      <c r="D73" s="14"/>
      <c r="F73" s="14"/>
    </row>
    <row r="74">
      <c r="D74" s="14"/>
      <c r="F74" s="14"/>
    </row>
    <row r="75">
      <c r="D75" s="14"/>
      <c r="F75" s="14"/>
    </row>
    <row r="76">
      <c r="D76" s="14"/>
      <c r="F76" s="14"/>
    </row>
    <row r="77">
      <c r="D77" s="14"/>
      <c r="F77" s="14"/>
    </row>
    <row r="78">
      <c r="D78" s="14"/>
      <c r="F78" s="14"/>
    </row>
    <row r="79">
      <c r="D79" s="14"/>
      <c r="F79" s="14"/>
    </row>
    <row r="80">
      <c r="D80" s="14"/>
      <c r="F80" s="14"/>
    </row>
    <row r="81">
      <c r="D81" s="14"/>
      <c r="F81" s="14"/>
    </row>
    <row r="82">
      <c r="D82" s="14"/>
      <c r="F82" s="14"/>
    </row>
    <row r="83">
      <c r="D83" s="14"/>
      <c r="F83" s="14"/>
    </row>
    <row r="84">
      <c r="D84" s="14"/>
      <c r="F84" s="14"/>
    </row>
    <row r="85">
      <c r="D85" s="14"/>
      <c r="F85" s="14"/>
    </row>
    <row r="86">
      <c r="D86" s="14"/>
      <c r="F86" s="14"/>
    </row>
    <row r="87">
      <c r="D87" s="14"/>
      <c r="F87" s="14"/>
    </row>
    <row r="88">
      <c r="D88" s="14"/>
      <c r="F88" s="14"/>
    </row>
    <row r="89">
      <c r="D89" s="14"/>
      <c r="F89" s="14"/>
    </row>
    <row r="90">
      <c r="D90" s="14"/>
      <c r="F90" s="14"/>
    </row>
    <row r="91">
      <c r="D91" s="14"/>
      <c r="F91" s="14"/>
    </row>
    <row r="92">
      <c r="D92" s="14"/>
      <c r="F92" s="14"/>
    </row>
    <row r="93">
      <c r="D93" s="14"/>
      <c r="F93" s="14"/>
    </row>
    <row r="94">
      <c r="D94" s="14"/>
      <c r="F94" s="14"/>
    </row>
    <row r="95">
      <c r="D95" s="14"/>
      <c r="F95" s="14"/>
    </row>
    <row r="96">
      <c r="D96" s="14"/>
      <c r="F96" s="14"/>
    </row>
    <row r="97">
      <c r="D97" s="14"/>
      <c r="F97" s="14"/>
    </row>
    <row r="98">
      <c r="D98" s="14"/>
      <c r="F98" s="14"/>
    </row>
    <row r="99">
      <c r="D99" s="14"/>
      <c r="F99" s="14"/>
    </row>
    <row r="100">
      <c r="D100" s="14"/>
      <c r="F100" s="14"/>
    </row>
    <row r="101">
      <c r="D101" s="14"/>
      <c r="F101" s="14"/>
    </row>
    <row r="102">
      <c r="D102" s="14"/>
      <c r="F102" s="14"/>
    </row>
    <row r="103">
      <c r="D103" s="14"/>
      <c r="F103" s="14"/>
    </row>
    <row r="104">
      <c r="D104" s="14"/>
      <c r="F104" s="14"/>
    </row>
    <row r="105">
      <c r="D105" s="14"/>
      <c r="F105" s="14"/>
    </row>
    <row r="106">
      <c r="D106" s="14"/>
      <c r="F106" s="14"/>
    </row>
    <row r="107">
      <c r="D107" s="14"/>
      <c r="F107" s="14"/>
    </row>
    <row r="108">
      <c r="D108" s="14"/>
      <c r="F108" s="14"/>
    </row>
    <row r="109">
      <c r="D109" s="14"/>
      <c r="F109" s="14"/>
    </row>
    <row r="110">
      <c r="D110" s="14"/>
      <c r="F110" s="14"/>
    </row>
    <row r="111">
      <c r="D111" s="14"/>
      <c r="F111" s="14"/>
    </row>
    <row r="112">
      <c r="D112" s="14"/>
      <c r="F112" s="14"/>
    </row>
    <row r="113">
      <c r="D113" s="14"/>
      <c r="F113" s="14"/>
    </row>
    <row r="114">
      <c r="D114" s="14"/>
      <c r="F114" s="14"/>
    </row>
    <row r="115">
      <c r="D115" s="14"/>
      <c r="F115" s="14"/>
    </row>
    <row r="116">
      <c r="D116" s="14"/>
      <c r="F116" s="14"/>
    </row>
    <row r="117">
      <c r="D117" s="14"/>
      <c r="F117" s="14"/>
    </row>
    <row r="118">
      <c r="D118" s="14"/>
      <c r="F118" s="14"/>
    </row>
    <row r="119">
      <c r="D119" s="14"/>
      <c r="F119" s="14"/>
    </row>
    <row r="120">
      <c r="D120" s="14"/>
      <c r="F120" s="14"/>
    </row>
    <row r="121">
      <c r="D121" s="14"/>
      <c r="F121" s="14"/>
    </row>
    <row r="122">
      <c r="D122" s="14"/>
      <c r="F122" s="14"/>
    </row>
    <row r="123">
      <c r="D123" s="14"/>
      <c r="F123" s="14"/>
    </row>
    <row r="124">
      <c r="D124" s="14"/>
      <c r="F124" s="14"/>
    </row>
    <row r="125">
      <c r="D125" s="14"/>
      <c r="F125" s="14"/>
    </row>
    <row r="126">
      <c r="D126" s="14"/>
      <c r="F126" s="14"/>
    </row>
    <row r="127">
      <c r="D127" s="14"/>
      <c r="F127" s="14"/>
    </row>
    <row r="128">
      <c r="D128" s="14"/>
      <c r="F128" s="14"/>
    </row>
    <row r="129">
      <c r="D129" s="14"/>
      <c r="F129" s="14"/>
    </row>
    <row r="130">
      <c r="D130" s="14"/>
      <c r="F130" s="14"/>
    </row>
    <row r="131">
      <c r="D131" s="14"/>
      <c r="F131" s="14"/>
    </row>
    <row r="132">
      <c r="D132" s="14"/>
      <c r="F132" s="14"/>
    </row>
    <row r="133">
      <c r="D133" s="14"/>
      <c r="F133" s="14"/>
    </row>
    <row r="134">
      <c r="D134" s="14"/>
      <c r="F134" s="14"/>
    </row>
    <row r="135">
      <c r="D135" s="14"/>
      <c r="F135" s="14"/>
    </row>
    <row r="136">
      <c r="D136" s="14"/>
      <c r="F136" s="14"/>
    </row>
    <row r="137">
      <c r="D137" s="14"/>
      <c r="F137" s="14"/>
    </row>
    <row r="138">
      <c r="D138" s="14"/>
      <c r="F138" s="14"/>
    </row>
    <row r="139">
      <c r="D139" s="14"/>
      <c r="F139" s="14"/>
    </row>
    <row r="140">
      <c r="D140" s="14"/>
      <c r="F140" s="14"/>
    </row>
    <row r="141">
      <c r="D141" s="14"/>
      <c r="F141" s="14"/>
    </row>
    <row r="142">
      <c r="D142" s="14"/>
      <c r="F142" s="14"/>
    </row>
    <row r="143">
      <c r="D143" s="14"/>
      <c r="F143" s="14"/>
    </row>
    <row r="144">
      <c r="D144" s="14"/>
      <c r="F144" s="14"/>
    </row>
    <row r="145">
      <c r="D145" s="14"/>
      <c r="F145" s="14"/>
    </row>
    <row r="146">
      <c r="D146" s="14"/>
      <c r="F146" s="14"/>
    </row>
    <row r="147">
      <c r="D147" s="14"/>
      <c r="F147" s="14"/>
    </row>
    <row r="148">
      <c r="D148" s="14"/>
      <c r="F148" s="14"/>
    </row>
    <row r="149">
      <c r="D149" s="14"/>
      <c r="F149" s="14"/>
    </row>
    <row r="150">
      <c r="D150" s="14"/>
      <c r="F150" s="14"/>
    </row>
    <row r="151">
      <c r="D151" s="14"/>
      <c r="F151" s="14"/>
    </row>
    <row r="152">
      <c r="D152" s="14"/>
      <c r="F152" s="14"/>
    </row>
    <row r="153">
      <c r="D153" s="14"/>
      <c r="F153" s="14"/>
    </row>
    <row r="154">
      <c r="D154" s="14"/>
      <c r="F154" s="14"/>
    </row>
    <row r="155">
      <c r="D155" s="14"/>
      <c r="F155" s="14"/>
    </row>
    <row r="156">
      <c r="D156" s="14"/>
      <c r="F156" s="14"/>
    </row>
    <row r="157">
      <c r="D157" s="14"/>
      <c r="F157" s="14"/>
    </row>
    <row r="158">
      <c r="D158" s="14"/>
      <c r="F158" s="14"/>
    </row>
    <row r="159">
      <c r="D159" s="14"/>
      <c r="F159" s="14"/>
    </row>
    <row r="160">
      <c r="D160" s="14"/>
      <c r="F160" s="14"/>
    </row>
    <row r="161">
      <c r="D161" s="14"/>
      <c r="F161" s="14"/>
    </row>
    <row r="162">
      <c r="D162" s="14"/>
      <c r="F162" s="14"/>
    </row>
    <row r="163">
      <c r="D163" s="14"/>
      <c r="F163" s="14"/>
    </row>
    <row r="164">
      <c r="D164" s="14"/>
      <c r="F164" s="14"/>
    </row>
    <row r="165">
      <c r="D165" s="14"/>
      <c r="F165" s="14"/>
    </row>
    <row r="166">
      <c r="D166" s="14"/>
      <c r="F166" s="14"/>
    </row>
    <row r="167">
      <c r="D167" s="14"/>
      <c r="F167" s="14"/>
    </row>
    <row r="168">
      <c r="D168" s="14"/>
      <c r="F168" s="14"/>
    </row>
    <row r="169">
      <c r="D169" s="14"/>
      <c r="F169" s="14"/>
    </row>
    <row r="170">
      <c r="D170" s="14"/>
      <c r="F170" s="14"/>
    </row>
    <row r="171">
      <c r="D171" s="14"/>
      <c r="F171" s="14"/>
    </row>
    <row r="172">
      <c r="D172" s="14"/>
      <c r="F172" s="14"/>
    </row>
    <row r="173">
      <c r="D173" s="14"/>
      <c r="F173" s="14"/>
    </row>
    <row r="174">
      <c r="D174" s="14"/>
      <c r="F174" s="14"/>
    </row>
    <row r="175">
      <c r="D175" s="14"/>
      <c r="F175" s="14"/>
    </row>
    <row r="176">
      <c r="D176" s="14"/>
      <c r="F176" s="14"/>
    </row>
    <row r="177">
      <c r="D177" s="14"/>
      <c r="F177" s="14"/>
    </row>
    <row r="178">
      <c r="D178" s="14"/>
      <c r="F178" s="14"/>
    </row>
    <row r="179">
      <c r="D179" s="14"/>
      <c r="F179" s="14"/>
    </row>
    <row r="180">
      <c r="D180" s="14"/>
      <c r="F180" s="14"/>
    </row>
    <row r="181">
      <c r="D181" s="14"/>
      <c r="F181" s="14"/>
    </row>
    <row r="182">
      <c r="D182" s="14"/>
      <c r="F182" s="14"/>
    </row>
    <row r="183">
      <c r="D183" s="14"/>
      <c r="F183" s="14"/>
    </row>
    <row r="184">
      <c r="D184" s="14"/>
      <c r="F184" s="14"/>
    </row>
    <row r="185">
      <c r="D185" s="14"/>
      <c r="F185" s="14"/>
    </row>
    <row r="186">
      <c r="D186" s="14"/>
      <c r="F186" s="14"/>
    </row>
    <row r="187">
      <c r="D187" s="14"/>
      <c r="F187" s="14"/>
    </row>
    <row r="188">
      <c r="D188" s="14"/>
      <c r="F188" s="14"/>
    </row>
    <row r="189">
      <c r="D189" s="14"/>
      <c r="F189" s="14"/>
    </row>
    <row r="190">
      <c r="D190" s="14"/>
      <c r="F190" s="14"/>
    </row>
    <row r="191">
      <c r="D191" s="14"/>
      <c r="F191" s="14"/>
    </row>
    <row r="192">
      <c r="D192" s="14"/>
      <c r="F192" s="14"/>
    </row>
    <row r="193">
      <c r="D193" s="14"/>
      <c r="F193" s="14"/>
    </row>
    <row r="194">
      <c r="D194" s="14"/>
      <c r="F194" s="14"/>
    </row>
    <row r="195">
      <c r="D195" s="14"/>
      <c r="F195" s="14"/>
    </row>
    <row r="196">
      <c r="D196" s="14"/>
      <c r="F196" s="14"/>
    </row>
    <row r="197">
      <c r="D197" s="14"/>
      <c r="F197" s="14"/>
    </row>
    <row r="198">
      <c r="D198" s="14"/>
      <c r="F198" s="14"/>
    </row>
    <row r="199">
      <c r="D199" s="14"/>
      <c r="F199" s="14"/>
    </row>
    <row r="200">
      <c r="D200" s="14"/>
      <c r="F200" s="14"/>
    </row>
    <row r="201">
      <c r="D201" s="14"/>
      <c r="F201" s="14"/>
    </row>
    <row r="202">
      <c r="D202" s="14"/>
      <c r="F202" s="14"/>
    </row>
    <row r="203">
      <c r="D203" s="14"/>
      <c r="F203" s="14"/>
    </row>
    <row r="204">
      <c r="D204" s="14"/>
      <c r="F204" s="14"/>
    </row>
    <row r="205">
      <c r="D205" s="14"/>
      <c r="F205" s="14"/>
    </row>
    <row r="206">
      <c r="D206" s="14"/>
      <c r="F206" s="14"/>
    </row>
    <row r="207">
      <c r="D207" s="14"/>
      <c r="F207" s="14"/>
    </row>
    <row r="208">
      <c r="D208" s="14"/>
      <c r="F208" s="14"/>
    </row>
    <row r="209">
      <c r="D209" s="14"/>
      <c r="F209" s="14"/>
    </row>
    <row r="210">
      <c r="D210" s="14"/>
      <c r="F210" s="14"/>
    </row>
    <row r="211">
      <c r="D211" s="14"/>
      <c r="F211" s="14"/>
    </row>
    <row r="212">
      <c r="D212" s="14"/>
      <c r="F212" s="14"/>
    </row>
    <row r="213">
      <c r="D213" s="14"/>
      <c r="F213" s="14"/>
    </row>
    <row r="214">
      <c r="D214" s="14"/>
      <c r="F214" s="14"/>
    </row>
    <row r="215">
      <c r="D215" s="14"/>
      <c r="F215" s="14"/>
    </row>
    <row r="216">
      <c r="D216" s="14"/>
      <c r="F216" s="14"/>
    </row>
    <row r="217">
      <c r="D217" s="14"/>
      <c r="F217" s="14"/>
    </row>
    <row r="218">
      <c r="D218" s="14"/>
      <c r="F218" s="14"/>
    </row>
    <row r="219">
      <c r="D219" s="14"/>
      <c r="F219" s="14"/>
    </row>
    <row r="220">
      <c r="D220" s="14"/>
      <c r="F220" s="14"/>
    </row>
    <row r="221">
      <c r="D221" s="14"/>
      <c r="F221" s="14"/>
    </row>
    <row r="222">
      <c r="D222" s="14"/>
      <c r="F222" s="14"/>
    </row>
    <row r="223">
      <c r="D223" s="14"/>
      <c r="F223" s="14"/>
    </row>
    <row r="224">
      <c r="D224" s="14"/>
      <c r="F224" s="14"/>
    </row>
    <row r="225">
      <c r="D225" s="14"/>
      <c r="F225" s="14"/>
    </row>
    <row r="226">
      <c r="D226" s="14"/>
      <c r="F226" s="14"/>
    </row>
    <row r="227">
      <c r="D227" s="14"/>
      <c r="F227" s="14"/>
    </row>
    <row r="228">
      <c r="D228" s="14"/>
      <c r="F228" s="14"/>
    </row>
    <row r="229">
      <c r="D229" s="14"/>
      <c r="F229" s="14"/>
    </row>
    <row r="230">
      <c r="D230" s="14"/>
      <c r="F230" s="14"/>
    </row>
    <row r="231">
      <c r="D231" s="14"/>
      <c r="F231" s="14"/>
    </row>
    <row r="232">
      <c r="D232" s="14"/>
      <c r="F232" s="14"/>
    </row>
    <row r="233">
      <c r="D233" s="14"/>
      <c r="F233" s="14"/>
    </row>
    <row r="234">
      <c r="D234" s="14"/>
      <c r="F234" s="14"/>
    </row>
    <row r="235">
      <c r="D235" s="14"/>
      <c r="F235" s="14"/>
    </row>
    <row r="236">
      <c r="D236" s="14"/>
      <c r="F236" s="14"/>
    </row>
    <row r="237">
      <c r="D237" s="14"/>
      <c r="F237" s="14"/>
    </row>
    <row r="238">
      <c r="D238" s="14"/>
      <c r="F238" s="14"/>
    </row>
    <row r="239">
      <c r="D239" s="14"/>
      <c r="F239" s="14"/>
    </row>
    <row r="240">
      <c r="D240" s="14"/>
      <c r="F240" s="14"/>
    </row>
    <row r="241">
      <c r="D241" s="14"/>
      <c r="F241" s="14"/>
    </row>
    <row r="242">
      <c r="D242" s="14"/>
      <c r="F242" s="14"/>
    </row>
    <row r="243">
      <c r="D243" s="14"/>
      <c r="F243" s="14"/>
    </row>
    <row r="244">
      <c r="D244" s="14"/>
      <c r="F244" s="14"/>
    </row>
    <row r="245">
      <c r="D245" s="14"/>
      <c r="F245" s="14"/>
    </row>
    <row r="246">
      <c r="D246" s="14"/>
      <c r="F246" s="14"/>
    </row>
    <row r="247">
      <c r="D247" s="14"/>
      <c r="F247" s="14"/>
    </row>
    <row r="248">
      <c r="D248" s="14"/>
      <c r="F248" s="14"/>
    </row>
    <row r="249">
      <c r="D249" s="14"/>
      <c r="F249" s="14"/>
    </row>
    <row r="250">
      <c r="D250" s="14"/>
      <c r="F250" s="14"/>
    </row>
    <row r="251">
      <c r="D251" s="14"/>
      <c r="F251" s="14"/>
    </row>
    <row r="252">
      <c r="D252" s="14"/>
      <c r="F252" s="14"/>
    </row>
    <row r="253">
      <c r="D253" s="14"/>
      <c r="F253" s="14"/>
    </row>
    <row r="254">
      <c r="D254" s="14"/>
      <c r="F254" s="14"/>
    </row>
    <row r="255">
      <c r="D255" s="14"/>
      <c r="F255" s="14"/>
    </row>
    <row r="256">
      <c r="D256" s="14"/>
      <c r="F256" s="14"/>
    </row>
    <row r="257">
      <c r="D257" s="14"/>
      <c r="F257" s="14"/>
    </row>
    <row r="258">
      <c r="D258" s="14"/>
      <c r="F258" s="14"/>
    </row>
    <row r="259">
      <c r="D259" s="14"/>
      <c r="F259" s="14"/>
    </row>
    <row r="260">
      <c r="D260" s="14"/>
      <c r="F260" s="14"/>
    </row>
    <row r="261">
      <c r="D261" s="14"/>
      <c r="F261" s="14"/>
    </row>
    <row r="262">
      <c r="D262" s="14"/>
      <c r="F262" s="14"/>
    </row>
    <row r="263">
      <c r="D263" s="14"/>
      <c r="F263" s="14"/>
    </row>
    <row r="264">
      <c r="D264" s="14"/>
      <c r="F264" s="14"/>
    </row>
    <row r="265">
      <c r="D265" s="14"/>
      <c r="F265" s="14"/>
    </row>
    <row r="266">
      <c r="D266" s="14"/>
      <c r="F266" s="14"/>
    </row>
    <row r="267">
      <c r="D267" s="14"/>
      <c r="F267" s="14"/>
    </row>
    <row r="268">
      <c r="D268" s="14"/>
      <c r="F268" s="14"/>
    </row>
    <row r="269">
      <c r="D269" s="14"/>
      <c r="F269" s="14"/>
    </row>
    <row r="270">
      <c r="D270" s="14"/>
      <c r="F270" s="14"/>
    </row>
    <row r="271">
      <c r="D271" s="14"/>
      <c r="F271" s="14"/>
    </row>
    <row r="272">
      <c r="D272" s="14"/>
      <c r="F272" s="14"/>
    </row>
    <row r="273">
      <c r="D273" s="14"/>
      <c r="F273" s="14"/>
    </row>
    <row r="274">
      <c r="D274" s="14"/>
      <c r="F274" s="14"/>
    </row>
    <row r="275">
      <c r="D275" s="14"/>
      <c r="F275" s="14"/>
    </row>
    <row r="276">
      <c r="D276" s="14"/>
      <c r="F276" s="14"/>
    </row>
    <row r="277">
      <c r="D277" s="14"/>
      <c r="F277" s="14"/>
    </row>
    <row r="278">
      <c r="D278" s="14"/>
      <c r="F278" s="14"/>
    </row>
    <row r="279">
      <c r="D279" s="14"/>
      <c r="F279" s="14"/>
    </row>
    <row r="280">
      <c r="D280" s="14"/>
      <c r="F280" s="14"/>
    </row>
    <row r="281">
      <c r="D281" s="14"/>
      <c r="F281" s="14"/>
    </row>
    <row r="282">
      <c r="D282" s="14"/>
      <c r="F282" s="14"/>
    </row>
    <row r="283">
      <c r="D283" s="14"/>
      <c r="F283" s="14"/>
    </row>
    <row r="284">
      <c r="D284" s="14"/>
      <c r="F284" s="14"/>
    </row>
    <row r="285">
      <c r="D285" s="14"/>
      <c r="F285" s="14"/>
    </row>
    <row r="286">
      <c r="D286" s="14"/>
      <c r="F286" s="14"/>
    </row>
    <row r="287">
      <c r="D287" s="14"/>
      <c r="F287" s="14"/>
    </row>
    <row r="288">
      <c r="D288" s="14"/>
      <c r="F288" s="14"/>
    </row>
    <row r="289">
      <c r="D289" s="14"/>
      <c r="F289" s="14"/>
    </row>
    <row r="290">
      <c r="D290" s="14"/>
      <c r="F290" s="14"/>
    </row>
    <row r="291">
      <c r="D291" s="14"/>
      <c r="F291" s="14"/>
    </row>
    <row r="292">
      <c r="D292" s="14"/>
      <c r="F292" s="14"/>
    </row>
    <row r="293">
      <c r="D293" s="14"/>
      <c r="F293" s="14"/>
    </row>
    <row r="294">
      <c r="D294" s="14"/>
      <c r="F294" s="14"/>
    </row>
    <row r="295">
      <c r="D295" s="14"/>
      <c r="F295" s="14"/>
    </row>
    <row r="296">
      <c r="D296" s="14"/>
      <c r="F296" s="14"/>
    </row>
    <row r="297">
      <c r="D297" s="14"/>
      <c r="F297" s="14"/>
    </row>
    <row r="298">
      <c r="D298" s="14"/>
      <c r="F298" s="14"/>
    </row>
    <row r="299">
      <c r="D299" s="14"/>
      <c r="F299" s="14"/>
    </row>
    <row r="300">
      <c r="D300" s="14"/>
      <c r="F300" s="14"/>
    </row>
    <row r="301">
      <c r="D301" s="14"/>
      <c r="F301" s="14"/>
    </row>
    <row r="302">
      <c r="D302" s="14"/>
      <c r="F302" s="14"/>
    </row>
    <row r="303">
      <c r="D303" s="14"/>
      <c r="F303" s="14"/>
    </row>
    <row r="304">
      <c r="D304" s="14"/>
      <c r="F304" s="14"/>
    </row>
    <row r="305">
      <c r="D305" s="14"/>
      <c r="F305" s="14"/>
    </row>
    <row r="306">
      <c r="D306" s="14"/>
      <c r="F306" s="14"/>
    </row>
    <row r="307">
      <c r="D307" s="14"/>
      <c r="F307" s="14"/>
    </row>
    <row r="308">
      <c r="D308" s="14"/>
      <c r="F308" s="14"/>
    </row>
    <row r="309">
      <c r="D309" s="14"/>
      <c r="F309" s="14"/>
    </row>
    <row r="310">
      <c r="D310" s="14"/>
      <c r="F310" s="14"/>
    </row>
    <row r="311">
      <c r="D311" s="14"/>
      <c r="F311" s="14"/>
    </row>
    <row r="312">
      <c r="D312" s="14"/>
      <c r="F312" s="14"/>
    </row>
    <row r="313">
      <c r="D313" s="14"/>
      <c r="F313" s="14"/>
    </row>
    <row r="314">
      <c r="D314" s="14"/>
      <c r="F314" s="14"/>
    </row>
    <row r="315">
      <c r="D315" s="14"/>
      <c r="F315" s="14"/>
    </row>
    <row r="316">
      <c r="D316" s="14"/>
      <c r="F316" s="14"/>
    </row>
    <row r="317">
      <c r="D317" s="14"/>
      <c r="F317" s="14"/>
    </row>
    <row r="318">
      <c r="D318" s="14"/>
      <c r="F318" s="14"/>
    </row>
    <row r="319">
      <c r="D319" s="14"/>
      <c r="F319" s="14"/>
    </row>
    <row r="320">
      <c r="D320" s="14"/>
      <c r="F320" s="14"/>
    </row>
    <row r="321">
      <c r="D321" s="14"/>
      <c r="F321" s="14"/>
    </row>
    <row r="322">
      <c r="D322" s="14"/>
      <c r="F322" s="14"/>
    </row>
    <row r="323">
      <c r="D323" s="14"/>
      <c r="F323" s="14"/>
    </row>
    <row r="324">
      <c r="D324" s="14"/>
      <c r="F324" s="14"/>
    </row>
    <row r="325">
      <c r="D325" s="14"/>
      <c r="F325" s="14"/>
    </row>
    <row r="326">
      <c r="D326" s="14"/>
      <c r="F326" s="14"/>
    </row>
    <row r="327">
      <c r="D327" s="14"/>
      <c r="F327" s="14"/>
    </row>
    <row r="328">
      <c r="D328" s="14"/>
      <c r="F328" s="14"/>
    </row>
    <row r="329">
      <c r="D329" s="14"/>
      <c r="F329" s="14"/>
    </row>
    <row r="330">
      <c r="D330" s="14"/>
      <c r="F330" s="14"/>
    </row>
    <row r="331">
      <c r="D331" s="14"/>
      <c r="F331" s="14"/>
    </row>
    <row r="332">
      <c r="D332" s="14"/>
      <c r="F332" s="14"/>
    </row>
    <row r="333">
      <c r="D333" s="14"/>
      <c r="F333" s="14"/>
    </row>
    <row r="334">
      <c r="D334" s="14"/>
      <c r="F334" s="14"/>
    </row>
    <row r="335">
      <c r="D335" s="14"/>
      <c r="F335" s="14"/>
    </row>
    <row r="336">
      <c r="D336" s="14"/>
      <c r="F336" s="14"/>
    </row>
    <row r="337">
      <c r="D337" s="14"/>
      <c r="F337" s="14"/>
    </row>
    <row r="338">
      <c r="D338" s="14"/>
      <c r="F338" s="14"/>
    </row>
    <row r="339">
      <c r="D339" s="14"/>
      <c r="F339" s="14"/>
    </row>
    <row r="340">
      <c r="D340" s="14"/>
      <c r="F340" s="14"/>
    </row>
    <row r="341">
      <c r="D341" s="14"/>
      <c r="F341" s="14"/>
    </row>
    <row r="342">
      <c r="D342" s="14"/>
      <c r="F342" s="14"/>
    </row>
    <row r="343">
      <c r="D343" s="14"/>
      <c r="F343" s="14"/>
    </row>
    <row r="344">
      <c r="D344" s="14"/>
      <c r="F344" s="14"/>
    </row>
    <row r="345">
      <c r="D345" s="14"/>
      <c r="F345" s="14"/>
    </row>
    <row r="346">
      <c r="D346" s="14"/>
      <c r="F346" s="14"/>
    </row>
    <row r="347">
      <c r="D347" s="14"/>
      <c r="F347" s="14"/>
    </row>
    <row r="348">
      <c r="D348" s="14"/>
      <c r="F348" s="14"/>
    </row>
    <row r="349">
      <c r="D349" s="14"/>
      <c r="F349" s="14"/>
    </row>
    <row r="350">
      <c r="D350" s="14"/>
      <c r="F350" s="14"/>
    </row>
    <row r="351">
      <c r="D351" s="14"/>
      <c r="F351" s="14"/>
    </row>
    <row r="352">
      <c r="D352" s="14"/>
      <c r="F352" s="14"/>
    </row>
    <row r="353">
      <c r="D353" s="14"/>
      <c r="F353" s="14"/>
    </row>
    <row r="354">
      <c r="D354" s="14"/>
      <c r="F354" s="14"/>
    </row>
    <row r="355">
      <c r="D355" s="14"/>
      <c r="F355" s="14"/>
    </row>
    <row r="356">
      <c r="D356" s="14"/>
      <c r="F356" s="14"/>
    </row>
    <row r="357">
      <c r="D357" s="14"/>
      <c r="F357" s="14"/>
    </row>
    <row r="358">
      <c r="D358" s="14"/>
      <c r="F358" s="14"/>
    </row>
    <row r="359">
      <c r="D359" s="14"/>
      <c r="F359" s="14"/>
    </row>
    <row r="360">
      <c r="D360" s="14"/>
      <c r="F360" s="14"/>
    </row>
    <row r="361">
      <c r="D361" s="14"/>
      <c r="F361" s="14"/>
    </row>
    <row r="362">
      <c r="D362" s="14"/>
      <c r="F362" s="14"/>
    </row>
    <row r="363">
      <c r="D363" s="14"/>
      <c r="F363" s="14"/>
    </row>
    <row r="364">
      <c r="D364" s="14"/>
      <c r="F364" s="14"/>
    </row>
    <row r="365">
      <c r="D365" s="14"/>
      <c r="F365" s="14"/>
    </row>
    <row r="366">
      <c r="D366" s="14"/>
      <c r="F366" s="14"/>
    </row>
    <row r="367">
      <c r="D367" s="14"/>
      <c r="F367" s="14"/>
    </row>
    <row r="368">
      <c r="D368" s="14"/>
      <c r="F368" s="14"/>
    </row>
    <row r="369">
      <c r="D369" s="14"/>
      <c r="F369" s="14"/>
    </row>
    <row r="370">
      <c r="D370" s="14"/>
      <c r="F370" s="14"/>
    </row>
    <row r="371">
      <c r="D371" s="14"/>
      <c r="F371" s="14"/>
    </row>
    <row r="372">
      <c r="D372" s="14"/>
      <c r="F372" s="14"/>
    </row>
    <row r="373">
      <c r="D373" s="14"/>
      <c r="F373" s="14"/>
    </row>
    <row r="374">
      <c r="D374" s="14"/>
      <c r="F374" s="14"/>
    </row>
    <row r="375">
      <c r="D375" s="14"/>
      <c r="F375" s="14"/>
    </row>
    <row r="376">
      <c r="D376" s="14"/>
      <c r="F376" s="14"/>
    </row>
    <row r="377">
      <c r="D377" s="14"/>
      <c r="F377" s="14"/>
    </row>
    <row r="378">
      <c r="D378" s="14"/>
      <c r="F378" s="14"/>
    </row>
    <row r="379">
      <c r="D379" s="14"/>
      <c r="F379" s="14"/>
    </row>
    <row r="380">
      <c r="D380" s="14"/>
      <c r="F380" s="14"/>
    </row>
    <row r="381">
      <c r="D381" s="14"/>
      <c r="F381" s="14"/>
    </row>
    <row r="382">
      <c r="D382" s="14"/>
      <c r="F382" s="14"/>
    </row>
    <row r="383">
      <c r="D383" s="14"/>
      <c r="F383" s="14"/>
    </row>
    <row r="384">
      <c r="D384" s="14"/>
      <c r="F384" s="14"/>
    </row>
    <row r="385">
      <c r="D385" s="14"/>
      <c r="F385" s="14"/>
    </row>
    <row r="386">
      <c r="D386" s="14"/>
      <c r="F386" s="14"/>
    </row>
    <row r="387">
      <c r="D387" s="14"/>
      <c r="F387" s="14"/>
    </row>
    <row r="388">
      <c r="D388" s="14"/>
      <c r="F388" s="14"/>
    </row>
    <row r="389">
      <c r="D389" s="14"/>
      <c r="F389" s="14"/>
    </row>
    <row r="390">
      <c r="D390" s="14"/>
      <c r="F390" s="14"/>
    </row>
    <row r="391">
      <c r="D391" s="14"/>
      <c r="F391" s="14"/>
    </row>
    <row r="392">
      <c r="D392" s="14"/>
      <c r="F392" s="14"/>
    </row>
    <row r="393">
      <c r="D393" s="14"/>
      <c r="F393" s="14"/>
    </row>
    <row r="394">
      <c r="D394" s="14"/>
      <c r="F394" s="14"/>
    </row>
    <row r="395">
      <c r="D395" s="14"/>
      <c r="F395" s="14"/>
    </row>
    <row r="396">
      <c r="D396" s="14"/>
      <c r="F396" s="14"/>
    </row>
    <row r="397">
      <c r="D397" s="14"/>
      <c r="F397" s="14"/>
    </row>
    <row r="398">
      <c r="D398" s="14"/>
      <c r="F398" s="14"/>
    </row>
    <row r="399">
      <c r="D399" s="14"/>
      <c r="F399" s="14"/>
    </row>
    <row r="400">
      <c r="D400" s="14"/>
      <c r="F400" s="14"/>
    </row>
    <row r="401">
      <c r="D401" s="14"/>
      <c r="F401" s="14"/>
    </row>
    <row r="402">
      <c r="D402" s="14"/>
      <c r="F402" s="14"/>
    </row>
    <row r="403">
      <c r="D403" s="14"/>
      <c r="F403" s="14"/>
    </row>
    <row r="404">
      <c r="D404" s="14"/>
      <c r="F404" s="14"/>
    </row>
    <row r="405">
      <c r="D405" s="14"/>
      <c r="F405" s="14"/>
    </row>
    <row r="406">
      <c r="D406" s="14"/>
      <c r="F406" s="14"/>
    </row>
    <row r="407">
      <c r="D407" s="14"/>
      <c r="F407" s="14"/>
    </row>
    <row r="408">
      <c r="D408" s="14"/>
      <c r="F408" s="14"/>
    </row>
    <row r="409">
      <c r="D409" s="14"/>
      <c r="F409" s="14"/>
    </row>
    <row r="410">
      <c r="D410" s="14"/>
      <c r="F410" s="14"/>
    </row>
    <row r="411">
      <c r="D411" s="14"/>
      <c r="F411" s="14"/>
    </row>
    <row r="412">
      <c r="D412" s="14"/>
      <c r="F412" s="14"/>
    </row>
    <row r="413">
      <c r="D413" s="14"/>
      <c r="F413" s="14"/>
    </row>
    <row r="414">
      <c r="D414" s="14"/>
      <c r="F414" s="14"/>
    </row>
    <row r="415">
      <c r="D415" s="14"/>
      <c r="F415" s="14"/>
    </row>
    <row r="416">
      <c r="D416" s="14"/>
      <c r="F416" s="14"/>
    </row>
    <row r="417">
      <c r="D417" s="14"/>
      <c r="F417" s="14"/>
    </row>
    <row r="418">
      <c r="D418" s="14"/>
      <c r="F418" s="14"/>
    </row>
    <row r="419">
      <c r="D419" s="14"/>
      <c r="F419" s="14"/>
    </row>
    <row r="420">
      <c r="D420" s="14"/>
      <c r="F420" s="14"/>
    </row>
    <row r="421">
      <c r="D421" s="14"/>
      <c r="F421" s="14"/>
    </row>
    <row r="422">
      <c r="D422" s="14"/>
      <c r="F422" s="14"/>
    </row>
    <row r="423">
      <c r="D423" s="14"/>
      <c r="F423" s="14"/>
    </row>
    <row r="424">
      <c r="D424" s="14"/>
      <c r="F424" s="14"/>
    </row>
    <row r="425">
      <c r="D425" s="14"/>
      <c r="F425" s="14"/>
    </row>
    <row r="426">
      <c r="D426" s="14"/>
      <c r="F426" s="14"/>
    </row>
    <row r="427">
      <c r="D427" s="14"/>
      <c r="F427" s="14"/>
    </row>
    <row r="428">
      <c r="D428" s="14"/>
      <c r="F428" s="14"/>
    </row>
    <row r="429">
      <c r="D429" s="14"/>
      <c r="F429" s="14"/>
    </row>
    <row r="430">
      <c r="D430" s="14"/>
      <c r="F430" s="14"/>
    </row>
    <row r="431">
      <c r="D431" s="14"/>
      <c r="F431" s="14"/>
    </row>
    <row r="432">
      <c r="D432" s="14"/>
      <c r="F432" s="14"/>
    </row>
    <row r="433">
      <c r="D433" s="14"/>
      <c r="F433" s="14"/>
    </row>
    <row r="434">
      <c r="D434" s="14"/>
      <c r="F434" s="14"/>
    </row>
    <row r="435">
      <c r="D435" s="14"/>
      <c r="F435" s="14"/>
    </row>
    <row r="436">
      <c r="D436" s="14"/>
      <c r="F436" s="14"/>
    </row>
    <row r="437">
      <c r="D437" s="14"/>
      <c r="F437" s="14"/>
    </row>
    <row r="438">
      <c r="D438" s="14"/>
      <c r="F438" s="14"/>
    </row>
    <row r="439">
      <c r="D439" s="14"/>
      <c r="F439" s="14"/>
    </row>
    <row r="440">
      <c r="D440" s="14"/>
      <c r="F440" s="14"/>
    </row>
    <row r="441">
      <c r="D441" s="14"/>
      <c r="F441" s="14"/>
    </row>
    <row r="442">
      <c r="D442" s="14"/>
      <c r="F442" s="14"/>
    </row>
    <row r="443">
      <c r="D443" s="14"/>
      <c r="F443" s="14"/>
    </row>
    <row r="444">
      <c r="D444" s="14"/>
      <c r="F444" s="14"/>
    </row>
    <row r="445">
      <c r="D445" s="14"/>
      <c r="F445" s="14"/>
    </row>
    <row r="446">
      <c r="D446" s="14"/>
      <c r="F446" s="14"/>
    </row>
    <row r="447">
      <c r="D447" s="14"/>
      <c r="F447" s="14"/>
    </row>
    <row r="448">
      <c r="D448" s="14"/>
      <c r="F448" s="14"/>
    </row>
    <row r="449">
      <c r="D449" s="14"/>
      <c r="F449" s="14"/>
    </row>
    <row r="450">
      <c r="D450" s="14"/>
      <c r="F450" s="14"/>
    </row>
    <row r="451">
      <c r="D451" s="14"/>
      <c r="F451" s="14"/>
    </row>
    <row r="452">
      <c r="D452" s="14"/>
      <c r="F452" s="14"/>
    </row>
    <row r="453">
      <c r="D453" s="14"/>
      <c r="F453" s="14"/>
    </row>
    <row r="454">
      <c r="D454" s="14"/>
      <c r="F454" s="14"/>
    </row>
    <row r="455">
      <c r="D455" s="14"/>
      <c r="F455" s="14"/>
    </row>
    <row r="456">
      <c r="D456" s="14"/>
      <c r="F456" s="14"/>
    </row>
    <row r="457">
      <c r="D457" s="14"/>
      <c r="F457" s="14"/>
    </row>
    <row r="458">
      <c r="D458" s="14"/>
      <c r="F458" s="14"/>
    </row>
    <row r="459">
      <c r="D459" s="14"/>
      <c r="F459" s="14"/>
    </row>
    <row r="460">
      <c r="D460" s="14"/>
      <c r="F460" s="14"/>
    </row>
    <row r="461">
      <c r="D461" s="14"/>
      <c r="F461" s="14"/>
    </row>
    <row r="462">
      <c r="D462" s="14"/>
      <c r="F462" s="14"/>
    </row>
    <row r="463">
      <c r="D463" s="14"/>
      <c r="F463" s="14"/>
    </row>
    <row r="464">
      <c r="D464" s="14"/>
      <c r="F464" s="14"/>
    </row>
    <row r="465">
      <c r="D465" s="14"/>
      <c r="F465" s="14"/>
    </row>
    <row r="466">
      <c r="D466" s="14"/>
      <c r="F466" s="14"/>
    </row>
    <row r="467">
      <c r="D467" s="14"/>
      <c r="F467" s="14"/>
    </row>
    <row r="468">
      <c r="D468" s="14"/>
      <c r="F468" s="14"/>
    </row>
    <row r="469">
      <c r="D469" s="14"/>
      <c r="F469" s="14"/>
    </row>
    <row r="470">
      <c r="D470" s="14"/>
      <c r="F470" s="14"/>
    </row>
    <row r="471">
      <c r="D471" s="14"/>
      <c r="F471" s="14"/>
    </row>
    <row r="472">
      <c r="D472" s="14"/>
      <c r="F472" s="14"/>
    </row>
    <row r="473">
      <c r="D473" s="14"/>
      <c r="F473" s="14"/>
    </row>
    <row r="474">
      <c r="D474" s="14"/>
      <c r="F474" s="14"/>
    </row>
    <row r="475">
      <c r="D475" s="14"/>
      <c r="F475" s="14"/>
    </row>
    <row r="476">
      <c r="D476" s="14"/>
      <c r="F476" s="14"/>
    </row>
    <row r="477">
      <c r="D477" s="14"/>
      <c r="F477" s="14"/>
    </row>
    <row r="478">
      <c r="D478" s="14"/>
      <c r="F478" s="14"/>
    </row>
    <row r="479">
      <c r="D479" s="14"/>
      <c r="F479" s="14"/>
    </row>
    <row r="480">
      <c r="D480" s="14"/>
      <c r="F480" s="14"/>
    </row>
    <row r="481">
      <c r="D481" s="14"/>
      <c r="F481" s="14"/>
    </row>
    <row r="482">
      <c r="D482" s="14"/>
      <c r="F482" s="14"/>
    </row>
    <row r="483">
      <c r="D483" s="14"/>
      <c r="F483" s="14"/>
    </row>
    <row r="484">
      <c r="D484" s="14"/>
      <c r="F484" s="14"/>
    </row>
    <row r="485">
      <c r="D485" s="14"/>
      <c r="F485" s="14"/>
    </row>
    <row r="486">
      <c r="D486" s="14"/>
      <c r="F486" s="14"/>
    </row>
    <row r="487">
      <c r="D487" s="14"/>
      <c r="F487" s="14"/>
    </row>
    <row r="488">
      <c r="D488" s="14"/>
      <c r="F488" s="14"/>
    </row>
    <row r="489">
      <c r="D489" s="14"/>
      <c r="F489" s="14"/>
    </row>
    <row r="490">
      <c r="D490" s="14"/>
      <c r="F490" s="14"/>
    </row>
    <row r="491">
      <c r="D491" s="14"/>
      <c r="F491" s="14"/>
    </row>
    <row r="492">
      <c r="D492" s="14"/>
      <c r="F492" s="14"/>
    </row>
    <row r="493">
      <c r="D493" s="14"/>
      <c r="F493" s="14"/>
    </row>
    <row r="494">
      <c r="D494" s="14"/>
      <c r="F494" s="14"/>
    </row>
    <row r="495">
      <c r="D495" s="14"/>
      <c r="F495" s="14"/>
    </row>
    <row r="496">
      <c r="D496" s="14"/>
      <c r="F496" s="14"/>
    </row>
    <row r="497">
      <c r="D497" s="14"/>
      <c r="F497" s="14"/>
    </row>
    <row r="498">
      <c r="D498" s="14"/>
      <c r="F498" s="14"/>
    </row>
    <row r="499">
      <c r="D499" s="14"/>
      <c r="F499" s="14"/>
    </row>
    <row r="500">
      <c r="D500" s="14"/>
      <c r="F500" s="14"/>
    </row>
    <row r="501">
      <c r="D501" s="14"/>
      <c r="F501" s="14"/>
    </row>
    <row r="502">
      <c r="D502" s="14"/>
      <c r="F502" s="14"/>
    </row>
    <row r="503">
      <c r="D503" s="14"/>
      <c r="F503" s="14"/>
    </row>
    <row r="504">
      <c r="D504" s="14"/>
      <c r="F504" s="14"/>
    </row>
    <row r="505">
      <c r="D505" s="14"/>
      <c r="F505" s="14"/>
    </row>
    <row r="506">
      <c r="D506" s="14"/>
      <c r="F506" s="14"/>
    </row>
    <row r="507">
      <c r="D507" s="14"/>
      <c r="F507" s="14"/>
    </row>
    <row r="508">
      <c r="D508" s="14"/>
      <c r="F508" s="14"/>
    </row>
    <row r="509">
      <c r="D509" s="14"/>
      <c r="F509" s="14"/>
    </row>
    <row r="510">
      <c r="D510" s="14"/>
      <c r="F510" s="14"/>
    </row>
    <row r="511">
      <c r="D511" s="14"/>
      <c r="F511" s="14"/>
    </row>
    <row r="512">
      <c r="D512" s="14"/>
      <c r="F512" s="14"/>
    </row>
    <row r="513">
      <c r="D513" s="14"/>
      <c r="F513" s="14"/>
    </row>
    <row r="514">
      <c r="D514" s="14"/>
      <c r="F514" s="14"/>
    </row>
    <row r="515">
      <c r="D515" s="14"/>
      <c r="F515" s="14"/>
    </row>
    <row r="516">
      <c r="D516" s="14"/>
      <c r="F516" s="14"/>
    </row>
    <row r="517">
      <c r="D517" s="14"/>
      <c r="F517" s="14"/>
    </row>
    <row r="518">
      <c r="D518" s="14"/>
      <c r="F518" s="14"/>
    </row>
    <row r="519">
      <c r="D519" s="14"/>
      <c r="F519" s="14"/>
    </row>
    <row r="520">
      <c r="D520" s="14"/>
      <c r="F520" s="14"/>
    </row>
    <row r="521">
      <c r="D521" s="14"/>
      <c r="F521" s="14"/>
    </row>
    <row r="522">
      <c r="D522" s="14"/>
      <c r="F522" s="14"/>
    </row>
    <row r="523">
      <c r="D523" s="14"/>
      <c r="F523" s="14"/>
    </row>
    <row r="524">
      <c r="D524" s="14"/>
      <c r="F524" s="14"/>
    </row>
    <row r="525">
      <c r="D525" s="14"/>
      <c r="F525" s="14"/>
    </row>
    <row r="526">
      <c r="D526" s="14"/>
      <c r="F526" s="14"/>
    </row>
    <row r="527">
      <c r="D527" s="14"/>
      <c r="F527" s="14"/>
    </row>
    <row r="528">
      <c r="D528" s="14"/>
      <c r="F528" s="14"/>
    </row>
    <row r="529">
      <c r="D529" s="14"/>
      <c r="F529" s="14"/>
    </row>
    <row r="530">
      <c r="D530" s="14"/>
      <c r="F530" s="14"/>
    </row>
    <row r="531">
      <c r="D531" s="14"/>
      <c r="F531" s="14"/>
    </row>
    <row r="532">
      <c r="D532" s="14"/>
      <c r="F532" s="14"/>
    </row>
    <row r="533">
      <c r="D533" s="14"/>
      <c r="F533" s="14"/>
    </row>
    <row r="534">
      <c r="D534" s="14"/>
      <c r="F534" s="14"/>
    </row>
    <row r="535">
      <c r="D535" s="14"/>
      <c r="F535" s="14"/>
    </row>
    <row r="536">
      <c r="D536" s="14"/>
      <c r="F536" s="14"/>
    </row>
    <row r="537">
      <c r="D537" s="14"/>
      <c r="F537" s="14"/>
    </row>
    <row r="538">
      <c r="D538" s="14"/>
      <c r="F538" s="14"/>
    </row>
    <row r="539">
      <c r="D539" s="14"/>
      <c r="F539" s="14"/>
    </row>
    <row r="540">
      <c r="D540" s="14"/>
      <c r="F540" s="14"/>
    </row>
    <row r="541">
      <c r="D541" s="14"/>
      <c r="F541" s="14"/>
    </row>
    <row r="542">
      <c r="D542" s="14"/>
      <c r="F542" s="14"/>
    </row>
    <row r="543">
      <c r="D543" s="14"/>
      <c r="F543" s="14"/>
    </row>
    <row r="544">
      <c r="D544" s="14"/>
      <c r="F544" s="14"/>
    </row>
    <row r="545">
      <c r="D545" s="14"/>
      <c r="F545" s="14"/>
    </row>
    <row r="546">
      <c r="D546" s="14"/>
      <c r="F546" s="14"/>
    </row>
    <row r="547">
      <c r="D547" s="14"/>
      <c r="F547" s="14"/>
    </row>
    <row r="548">
      <c r="D548" s="14"/>
      <c r="F548" s="14"/>
    </row>
    <row r="549">
      <c r="D549" s="14"/>
      <c r="F549" s="14"/>
    </row>
    <row r="550">
      <c r="D550" s="14"/>
      <c r="F550" s="14"/>
    </row>
    <row r="551">
      <c r="D551" s="14"/>
      <c r="F551" s="14"/>
    </row>
    <row r="552">
      <c r="D552" s="14"/>
      <c r="F552" s="14"/>
    </row>
    <row r="553">
      <c r="D553" s="14"/>
      <c r="F553" s="14"/>
    </row>
    <row r="554">
      <c r="D554" s="14"/>
      <c r="F554" s="14"/>
    </row>
    <row r="555">
      <c r="D555" s="14"/>
      <c r="F555" s="14"/>
    </row>
    <row r="556">
      <c r="D556" s="14"/>
      <c r="F556" s="14"/>
    </row>
    <row r="557">
      <c r="D557" s="14"/>
      <c r="F557" s="14"/>
    </row>
    <row r="558">
      <c r="D558" s="14"/>
      <c r="F558" s="14"/>
    </row>
    <row r="559">
      <c r="D559" s="14"/>
      <c r="F559" s="14"/>
    </row>
    <row r="560">
      <c r="D560" s="14"/>
      <c r="F560" s="14"/>
    </row>
    <row r="561">
      <c r="D561" s="14"/>
      <c r="F561" s="14"/>
    </row>
    <row r="562">
      <c r="D562" s="14"/>
      <c r="F562" s="14"/>
    </row>
    <row r="563">
      <c r="D563" s="14"/>
      <c r="F563" s="14"/>
    </row>
    <row r="564">
      <c r="D564" s="14"/>
      <c r="F564" s="14"/>
    </row>
    <row r="565">
      <c r="D565" s="14"/>
      <c r="F565" s="14"/>
    </row>
    <row r="566">
      <c r="D566" s="14"/>
      <c r="F566" s="14"/>
    </row>
    <row r="567">
      <c r="D567" s="14"/>
      <c r="F567" s="14"/>
    </row>
    <row r="568">
      <c r="D568" s="14"/>
      <c r="F568" s="14"/>
    </row>
    <row r="569">
      <c r="D569" s="14"/>
      <c r="F569" s="14"/>
    </row>
    <row r="570">
      <c r="D570" s="14"/>
      <c r="F570" s="14"/>
    </row>
    <row r="571">
      <c r="D571" s="14"/>
      <c r="F571" s="14"/>
    </row>
    <row r="572">
      <c r="D572" s="14"/>
      <c r="F572" s="14"/>
    </row>
    <row r="573">
      <c r="D573" s="14"/>
      <c r="F573" s="14"/>
    </row>
    <row r="574">
      <c r="D574" s="14"/>
      <c r="F574" s="14"/>
    </row>
    <row r="575">
      <c r="D575" s="14"/>
      <c r="F575" s="14"/>
    </row>
    <row r="576">
      <c r="D576" s="14"/>
      <c r="F576" s="14"/>
    </row>
    <row r="577">
      <c r="D577" s="14"/>
      <c r="F577" s="14"/>
    </row>
    <row r="578">
      <c r="D578" s="14"/>
      <c r="F578" s="14"/>
    </row>
    <row r="579">
      <c r="D579" s="14"/>
      <c r="F579" s="14"/>
    </row>
    <row r="580">
      <c r="D580" s="14"/>
      <c r="F580" s="14"/>
    </row>
    <row r="581">
      <c r="D581" s="14"/>
      <c r="F581" s="14"/>
    </row>
    <row r="582">
      <c r="D582" s="14"/>
      <c r="F582" s="14"/>
    </row>
    <row r="583">
      <c r="D583" s="14"/>
      <c r="F583" s="14"/>
    </row>
    <row r="584">
      <c r="D584" s="14"/>
      <c r="F584" s="14"/>
    </row>
    <row r="585">
      <c r="D585" s="14"/>
      <c r="F585" s="14"/>
    </row>
    <row r="586">
      <c r="D586" s="14"/>
      <c r="F586" s="14"/>
    </row>
    <row r="587">
      <c r="D587" s="14"/>
      <c r="F587" s="14"/>
    </row>
    <row r="588">
      <c r="D588" s="14"/>
      <c r="F588" s="14"/>
    </row>
    <row r="589">
      <c r="D589" s="14"/>
      <c r="F589" s="14"/>
    </row>
    <row r="590">
      <c r="D590" s="14"/>
      <c r="F590" s="14"/>
    </row>
    <row r="591">
      <c r="D591" s="14"/>
      <c r="F591" s="14"/>
    </row>
    <row r="592">
      <c r="D592" s="14"/>
      <c r="F592" s="14"/>
    </row>
    <row r="593">
      <c r="D593" s="14"/>
      <c r="F593" s="14"/>
    </row>
    <row r="594">
      <c r="D594" s="14"/>
      <c r="F594" s="14"/>
    </row>
    <row r="595">
      <c r="D595" s="14"/>
      <c r="F595" s="14"/>
    </row>
    <row r="596">
      <c r="D596" s="14"/>
      <c r="F596" s="14"/>
    </row>
    <row r="597">
      <c r="D597" s="14"/>
      <c r="F597" s="14"/>
    </row>
    <row r="598">
      <c r="D598" s="14"/>
      <c r="F598" s="14"/>
    </row>
    <row r="599">
      <c r="D599" s="14"/>
      <c r="F599" s="14"/>
    </row>
    <row r="600">
      <c r="D600" s="14"/>
      <c r="F600" s="14"/>
    </row>
    <row r="601">
      <c r="D601" s="14"/>
      <c r="F601" s="14"/>
    </row>
    <row r="602">
      <c r="D602" s="14"/>
      <c r="F602" s="14"/>
    </row>
    <row r="603">
      <c r="D603" s="14"/>
      <c r="F603" s="14"/>
    </row>
    <row r="604">
      <c r="D604" s="14"/>
      <c r="F604" s="14"/>
    </row>
    <row r="605">
      <c r="D605" s="14"/>
      <c r="F605" s="14"/>
    </row>
    <row r="606">
      <c r="D606" s="14"/>
      <c r="F606" s="14"/>
    </row>
    <row r="607">
      <c r="D607" s="14"/>
      <c r="F607" s="14"/>
    </row>
    <row r="608">
      <c r="D608" s="14"/>
      <c r="F608" s="14"/>
    </row>
    <row r="609">
      <c r="D609" s="14"/>
      <c r="F609" s="14"/>
    </row>
    <row r="610">
      <c r="D610" s="14"/>
      <c r="F610" s="14"/>
    </row>
    <row r="611">
      <c r="D611" s="14"/>
      <c r="F611" s="14"/>
    </row>
    <row r="612">
      <c r="D612" s="14"/>
      <c r="F612" s="14"/>
    </row>
    <row r="613">
      <c r="D613" s="14"/>
      <c r="F613" s="14"/>
    </row>
    <row r="614">
      <c r="D614" s="14"/>
      <c r="F614" s="14"/>
    </row>
    <row r="615">
      <c r="D615" s="14"/>
      <c r="F615" s="14"/>
    </row>
    <row r="616">
      <c r="D616" s="14"/>
      <c r="F616" s="14"/>
    </row>
    <row r="617">
      <c r="D617" s="14"/>
      <c r="F617" s="14"/>
    </row>
    <row r="618">
      <c r="D618" s="14"/>
      <c r="F618" s="14"/>
    </row>
    <row r="619">
      <c r="D619" s="14"/>
      <c r="F619" s="14"/>
    </row>
    <row r="620">
      <c r="D620" s="14"/>
      <c r="F620" s="14"/>
    </row>
    <row r="621">
      <c r="D621" s="14"/>
      <c r="F621" s="14"/>
    </row>
    <row r="622">
      <c r="D622" s="14"/>
      <c r="F622" s="14"/>
    </row>
    <row r="623">
      <c r="D623" s="14"/>
      <c r="F623" s="14"/>
    </row>
    <row r="624">
      <c r="D624" s="14"/>
      <c r="F624" s="14"/>
    </row>
    <row r="625">
      <c r="D625" s="14"/>
      <c r="F625" s="14"/>
    </row>
    <row r="626">
      <c r="D626" s="14"/>
      <c r="F626" s="14"/>
    </row>
    <row r="627">
      <c r="D627" s="14"/>
      <c r="F627" s="14"/>
    </row>
    <row r="628">
      <c r="D628" s="14"/>
      <c r="F628" s="14"/>
    </row>
    <row r="629">
      <c r="D629" s="14"/>
      <c r="F629" s="14"/>
    </row>
    <row r="630">
      <c r="D630" s="14"/>
      <c r="F630" s="14"/>
    </row>
    <row r="631">
      <c r="D631" s="14"/>
      <c r="F631" s="14"/>
    </row>
    <row r="632">
      <c r="D632" s="14"/>
      <c r="F632" s="14"/>
    </row>
    <row r="633">
      <c r="D633" s="14"/>
      <c r="F633" s="14"/>
    </row>
    <row r="634">
      <c r="D634" s="14"/>
      <c r="F634" s="14"/>
    </row>
    <row r="635">
      <c r="D635" s="14"/>
      <c r="F635" s="14"/>
    </row>
    <row r="636">
      <c r="D636" s="14"/>
      <c r="F636" s="14"/>
    </row>
    <row r="637">
      <c r="D637" s="14"/>
      <c r="F637" s="14"/>
    </row>
    <row r="638">
      <c r="D638" s="14"/>
      <c r="F638" s="14"/>
    </row>
    <row r="639">
      <c r="D639" s="14"/>
      <c r="F639" s="14"/>
    </row>
    <row r="640">
      <c r="D640" s="14"/>
      <c r="F640" s="14"/>
    </row>
    <row r="641">
      <c r="D641" s="14"/>
      <c r="F641" s="14"/>
    </row>
    <row r="642">
      <c r="D642" s="14"/>
      <c r="F642" s="14"/>
    </row>
    <row r="643">
      <c r="D643" s="14"/>
      <c r="F643" s="14"/>
    </row>
    <row r="644">
      <c r="D644" s="14"/>
      <c r="F644" s="14"/>
    </row>
    <row r="645">
      <c r="D645" s="14"/>
      <c r="F645" s="14"/>
    </row>
    <row r="646">
      <c r="D646" s="14"/>
      <c r="F646" s="14"/>
    </row>
    <row r="647">
      <c r="D647" s="14"/>
      <c r="F647" s="14"/>
    </row>
    <row r="648">
      <c r="D648" s="14"/>
      <c r="F648" s="14"/>
    </row>
    <row r="649">
      <c r="D649" s="14"/>
      <c r="F649" s="14"/>
    </row>
    <row r="650">
      <c r="D650" s="14"/>
      <c r="F650" s="14"/>
    </row>
    <row r="651">
      <c r="D651" s="14"/>
      <c r="F651" s="14"/>
    </row>
    <row r="652">
      <c r="D652" s="14"/>
      <c r="F652" s="14"/>
    </row>
    <row r="653">
      <c r="D653" s="14"/>
      <c r="F653" s="14"/>
    </row>
    <row r="654">
      <c r="D654" s="14"/>
      <c r="F654" s="14"/>
    </row>
    <row r="655">
      <c r="D655" s="14"/>
      <c r="F655" s="14"/>
    </row>
    <row r="656">
      <c r="D656" s="14"/>
      <c r="F656" s="14"/>
    </row>
    <row r="657">
      <c r="D657" s="14"/>
      <c r="F657" s="14"/>
    </row>
    <row r="658">
      <c r="D658" s="14"/>
      <c r="F658" s="14"/>
    </row>
    <row r="659">
      <c r="D659" s="14"/>
      <c r="F659" s="14"/>
    </row>
    <row r="660">
      <c r="D660" s="14"/>
      <c r="F660" s="14"/>
    </row>
    <row r="661">
      <c r="D661" s="14"/>
      <c r="F661" s="14"/>
    </row>
    <row r="662">
      <c r="D662" s="14"/>
      <c r="F662" s="14"/>
    </row>
    <row r="663">
      <c r="D663" s="14"/>
      <c r="F663" s="14"/>
    </row>
    <row r="664">
      <c r="D664" s="14"/>
      <c r="F664" s="14"/>
    </row>
    <row r="665">
      <c r="D665" s="14"/>
      <c r="F665" s="14"/>
    </row>
    <row r="666">
      <c r="D666" s="14"/>
      <c r="F666" s="14"/>
    </row>
    <row r="667">
      <c r="D667" s="14"/>
      <c r="F667" s="14"/>
    </row>
    <row r="668">
      <c r="D668" s="14"/>
      <c r="F668" s="14"/>
    </row>
    <row r="669">
      <c r="D669" s="14"/>
      <c r="F669" s="14"/>
    </row>
    <row r="670">
      <c r="D670" s="14"/>
      <c r="F670" s="14"/>
    </row>
    <row r="671">
      <c r="D671" s="14"/>
      <c r="F671" s="14"/>
    </row>
    <row r="672">
      <c r="D672" s="14"/>
      <c r="F672" s="14"/>
    </row>
    <row r="673">
      <c r="D673" s="14"/>
      <c r="F673" s="14"/>
    </row>
    <row r="674">
      <c r="D674" s="14"/>
      <c r="F674" s="14"/>
    </row>
    <row r="675">
      <c r="D675" s="14"/>
      <c r="F675" s="14"/>
    </row>
    <row r="676">
      <c r="D676" s="14"/>
      <c r="F676" s="14"/>
    </row>
    <row r="677">
      <c r="D677" s="14"/>
      <c r="F677" s="14"/>
    </row>
    <row r="678">
      <c r="D678" s="14"/>
      <c r="F678" s="14"/>
    </row>
    <row r="679">
      <c r="D679" s="14"/>
      <c r="F679" s="14"/>
    </row>
    <row r="680">
      <c r="D680" s="14"/>
      <c r="F680" s="14"/>
    </row>
    <row r="681">
      <c r="D681" s="14"/>
      <c r="F681" s="14"/>
    </row>
    <row r="682">
      <c r="D682" s="14"/>
      <c r="F682" s="14"/>
    </row>
    <row r="683">
      <c r="D683" s="14"/>
      <c r="F683" s="14"/>
    </row>
    <row r="684">
      <c r="D684" s="14"/>
      <c r="F684" s="14"/>
    </row>
    <row r="685">
      <c r="D685" s="14"/>
      <c r="F685" s="14"/>
    </row>
    <row r="686">
      <c r="D686" s="14"/>
      <c r="F686" s="14"/>
    </row>
    <row r="687">
      <c r="D687" s="14"/>
      <c r="F687" s="14"/>
    </row>
    <row r="688">
      <c r="D688" s="14"/>
      <c r="F688" s="14"/>
    </row>
    <row r="689">
      <c r="D689" s="14"/>
      <c r="F689" s="14"/>
    </row>
    <row r="690">
      <c r="D690" s="14"/>
      <c r="F690" s="14"/>
    </row>
    <row r="691">
      <c r="D691" s="14"/>
      <c r="F691" s="14"/>
    </row>
    <row r="692">
      <c r="D692" s="14"/>
      <c r="F692" s="14"/>
    </row>
    <row r="693">
      <c r="D693" s="14"/>
      <c r="F693" s="14"/>
    </row>
    <row r="694">
      <c r="D694" s="14"/>
      <c r="F694" s="14"/>
    </row>
    <row r="695">
      <c r="D695" s="14"/>
      <c r="F695" s="14"/>
    </row>
    <row r="696">
      <c r="D696" s="14"/>
      <c r="F696" s="14"/>
    </row>
    <row r="697">
      <c r="D697" s="14"/>
      <c r="F697" s="14"/>
    </row>
    <row r="698">
      <c r="D698" s="14"/>
      <c r="F698" s="14"/>
    </row>
    <row r="699">
      <c r="D699" s="14"/>
      <c r="F699" s="14"/>
    </row>
    <row r="700">
      <c r="D700" s="14"/>
      <c r="F700" s="14"/>
    </row>
    <row r="701">
      <c r="D701" s="14"/>
      <c r="F701" s="14"/>
    </row>
    <row r="702">
      <c r="D702" s="14"/>
      <c r="F702" s="14"/>
    </row>
    <row r="703">
      <c r="D703" s="14"/>
      <c r="F703" s="14"/>
    </row>
    <row r="704">
      <c r="D704" s="14"/>
      <c r="F704" s="14"/>
    </row>
    <row r="705">
      <c r="D705" s="14"/>
      <c r="F705" s="14"/>
    </row>
    <row r="706">
      <c r="D706" s="14"/>
      <c r="F706" s="14"/>
    </row>
    <row r="707">
      <c r="D707" s="14"/>
      <c r="F707" s="14"/>
    </row>
    <row r="708">
      <c r="D708" s="14"/>
      <c r="F708" s="14"/>
    </row>
    <row r="709">
      <c r="D709" s="14"/>
      <c r="F709" s="14"/>
    </row>
    <row r="710">
      <c r="D710" s="14"/>
      <c r="F710" s="14"/>
    </row>
    <row r="711">
      <c r="D711" s="14"/>
      <c r="F711" s="14"/>
    </row>
    <row r="712">
      <c r="D712" s="14"/>
      <c r="F712" s="14"/>
    </row>
    <row r="713">
      <c r="D713" s="14"/>
      <c r="F713" s="14"/>
    </row>
    <row r="714">
      <c r="D714" s="14"/>
      <c r="F714" s="14"/>
    </row>
    <row r="715">
      <c r="D715" s="14"/>
      <c r="F715" s="14"/>
    </row>
    <row r="716">
      <c r="D716" s="14"/>
      <c r="F716" s="14"/>
    </row>
    <row r="717">
      <c r="D717" s="14"/>
      <c r="F717" s="14"/>
    </row>
    <row r="718">
      <c r="D718" s="14"/>
      <c r="F718" s="14"/>
    </row>
    <row r="719">
      <c r="D719" s="14"/>
      <c r="F719" s="14"/>
    </row>
    <row r="720">
      <c r="D720" s="14"/>
      <c r="F720" s="14"/>
    </row>
    <row r="721">
      <c r="D721" s="14"/>
      <c r="F721" s="14"/>
    </row>
    <row r="722">
      <c r="D722" s="14"/>
      <c r="F722" s="14"/>
    </row>
    <row r="723">
      <c r="D723" s="14"/>
      <c r="F723" s="14"/>
    </row>
    <row r="724">
      <c r="D724" s="14"/>
      <c r="F724" s="14"/>
    </row>
    <row r="725">
      <c r="D725" s="14"/>
      <c r="F725" s="14"/>
    </row>
    <row r="726">
      <c r="D726" s="14"/>
      <c r="F726" s="14"/>
    </row>
    <row r="727">
      <c r="D727" s="14"/>
      <c r="F727" s="14"/>
    </row>
    <row r="728">
      <c r="D728" s="14"/>
      <c r="F728" s="14"/>
    </row>
    <row r="729">
      <c r="D729" s="14"/>
      <c r="F729" s="14"/>
    </row>
    <row r="730">
      <c r="D730" s="14"/>
      <c r="F730" s="14"/>
    </row>
    <row r="731">
      <c r="D731" s="14"/>
      <c r="F731" s="14"/>
    </row>
    <row r="732">
      <c r="D732" s="14"/>
      <c r="F732" s="14"/>
    </row>
    <row r="733">
      <c r="D733" s="14"/>
      <c r="F733" s="14"/>
    </row>
    <row r="734">
      <c r="D734" s="14"/>
      <c r="F734" s="14"/>
    </row>
    <row r="735">
      <c r="D735" s="14"/>
      <c r="F735" s="14"/>
    </row>
    <row r="736">
      <c r="D736" s="14"/>
      <c r="F736" s="14"/>
    </row>
    <row r="737">
      <c r="D737" s="14"/>
      <c r="F737" s="14"/>
    </row>
    <row r="738">
      <c r="D738" s="14"/>
      <c r="F738" s="14"/>
    </row>
    <row r="739">
      <c r="D739" s="14"/>
      <c r="F739" s="14"/>
    </row>
    <row r="740">
      <c r="D740" s="14"/>
      <c r="F740" s="14"/>
    </row>
    <row r="741">
      <c r="D741" s="14"/>
      <c r="F741" s="14"/>
    </row>
    <row r="742">
      <c r="D742" s="14"/>
      <c r="F742" s="14"/>
    </row>
    <row r="743">
      <c r="D743" s="14"/>
      <c r="F743" s="14"/>
    </row>
    <row r="744">
      <c r="D744" s="14"/>
      <c r="F744" s="14"/>
    </row>
    <row r="745">
      <c r="D745" s="14"/>
      <c r="F745" s="14"/>
    </row>
    <row r="746">
      <c r="D746" s="14"/>
      <c r="F746" s="14"/>
    </row>
    <row r="747">
      <c r="D747" s="14"/>
      <c r="F747" s="14"/>
    </row>
    <row r="748">
      <c r="D748" s="14"/>
      <c r="F748" s="14"/>
    </row>
    <row r="749">
      <c r="D749" s="14"/>
      <c r="F749" s="14"/>
    </row>
    <row r="750">
      <c r="D750" s="14"/>
      <c r="F750" s="14"/>
    </row>
    <row r="751">
      <c r="D751" s="14"/>
      <c r="F751" s="14"/>
    </row>
    <row r="752">
      <c r="D752" s="14"/>
      <c r="F752" s="14"/>
    </row>
    <row r="753">
      <c r="D753" s="14"/>
      <c r="F753" s="14"/>
    </row>
    <row r="754">
      <c r="D754" s="14"/>
      <c r="F754" s="14"/>
    </row>
    <row r="755">
      <c r="D755" s="14"/>
      <c r="F755" s="14"/>
    </row>
    <row r="756">
      <c r="D756" s="14"/>
      <c r="F756" s="14"/>
    </row>
    <row r="757">
      <c r="D757" s="14"/>
      <c r="F757" s="14"/>
    </row>
    <row r="758">
      <c r="D758" s="14"/>
      <c r="F758" s="14"/>
    </row>
    <row r="759">
      <c r="D759" s="14"/>
      <c r="F759" s="14"/>
    </row>
    <row r="760">
      <c r="D760" s="14"/>
      <c r="F760" s="14"/>
    </row>
    <row r="761">
      <c r="D761" s="14"/>
      <c r="F761" s="14"/>
    </row>
    <row r="762">
      <c r="D762" s="14"/>
      <c r="F762" s="14"/>
    </row>
    <row r="763">
      <c r="D763" s="14"/>
      <c r="F763" s="14"/>
    </row>
    <row r="764">
      <c r="D764" s="14"/>
      <c r="F764" s="14"/>
    </row>
    <row r="765">
      <c r="D765" s="14"/>
      <c r="F765" s="14"/>
    </row>
    <row r="766">
      <c r="D766" s="14"/>
      <c r="F766" s="14"/>
    </row>
    <row r="767">
      <c r="D767" s="14"/>
      <c r="F767" s="14"/>
    </row>
    <row r="768">
      <c r="D768" s="14"/>
      <c r="F768" s="14"/>
    </row>
    <row r="769">
      <c r="D769" s="14"/>
      <c r="F769" s="14"/>
    </row>
    <row r="770">
      <c r="D770" s="14"/>
      <c r="F770" s="14"/>
    </row>
    <row r="771">
      <c r="D771" s="14"/>
      <c r="F771" s="14"/>
    </row>
    <row r="772">
      <c r="D772" s="14"/>
      <c r="F772" s="14"/>
    </row>
    <row r="773">
      <c r="D773" s="14"/>
      <c r="F773" s="14"/>
    </row>
    <row r="774">
      <c r="D774" s="14"/>
      <c r="F774" s="14"/>
    </row>
    <row r="775">
      <c r="D775" s="14"/>
      <c r="F775" s="14"/>
    </row>
    <row r="776">
      <c r="D776" s="14"/>
      <c r="F776" s="14"/>
    </row>
    <row r="777">
      <c r="D777" s="14"/>
      <c r="F777" s="14"/>
    </row>
    <row r="778">
      <c r="D778" s="14"/>
      <c r="F778" s="14"/>
    </row>
    <row r="779">
      <c r="D779" s="14"/>
      <c r="F779" s="14"/>
    </row>
    <row r="780">
      <c r="D780" s="14"/>
      <c r="F780" s="14"/>
    </row>
    <row r="781">
      <c r="D781" s="14"/>
      <c r="F781" s="14"/>
    </row>
    <row r="782">
      <c r="D782" s="14"/>
      <c r="F782" s="14"/>
    </row>
    <row r="783">
      <c r="D783" s="14"/>
      <c r="F783" s="14"/>
    </row>
    <row r="784">
      <c r="D784" s="14"/>
      <c r="F784" s="14"/>
    </row>
    <row r="785">
      <c r="D785" s="14"/>
      <c r="F785" s="14"/>
    </row>
    <row r="786">
      <c r="D786" s="14"/>
      <c r="F786" s="14"/>
    </row>
    <row r="787">
      <c r="D787" s="14"/>
      <c r="F787" s="14"/>
    </row>
    <row r="788">
      <c r="D788" s="14"/>
      <c r="F788" s="14"/>
    </row>
    <row r="789">
      <c r="D789" s="14"/>
      <c r="F789" s="14"/>
    </row>
    <row r="790">
      <c r="D790" s="14"/>
      <c r="F790" s="14"/>
    </row>
    <row r="791">
      <c r="D791" s="14"/>
      <c r="F791" s="14"/>
    </row>
    <row r="792">
      <c r="D792" s="14"/>
      <c r="F792" s="14"/>
    </row>
    <row r="793">
      <c r="D793" s="14"/>
      <c r="F793" s="14"/>
    </row>
    <row r="794">
      <c r="D794" s="14"/>
      <c r="F794" s="14"/>
    </row>
    <row r="795">
      <c r="D795" s="14"/>
      <c r="F795" s="14"/>
    </row>
    <row r="796">
      <c r="D796" s="14"/>
      <c r="F796" s="14"/>
    </row>
    <row r="797">
      <c r="D797" s="14"/>
      <c r="F797" s="14"/>
    </row>
    <row r="798">
      <c r="D798" s="14"/>
      <c r="F798" s="14"/>
    </row>
    <row r="799">
      <c r="D799" s="14"/>
      <c r="F799" s="14"/>
    </row>
    <row r="800">
      <c r="D800" s="14"/>
      <c r="F800" s="14"/>
    </row>
    <row r="801">
      <c r="D801" s="14"/>
      <c r="F801" s="14"/>
    </row>
    <row r="802">
      <c r="D802" s="14"/>
      <c r="F802" s="14"/>
    </row>
    <row r="803">
      <c r="D803" s="14"/>
      <c r="F803" s="14"/>
    </row>
    <row r="804">
      <c r="D804" s="14"/>
      <c r="F804" s="14"/>
    </row>
    <row r="805">
      <c r="D805" s="14"/>
      <c r="F805" s="14"/>
    </row>
    <row r="806">
      <c r="D806" s="14"/>
      <c r="F806" s="14"/>
    </row>
    <row r="807">
      <c r="D807" s="14"/>
      <c r="F807" s="14"/>
    </row>
    <row r="808">
      <c r="D808" s="14"/>
      <c r="F808" s="14"/>
    </row>
    <row r="809">
      <c r="D809" s="14"/>
      <c r="F809" s="14"/>
    </row>
    <row r="810">
      <c r="D810" s="14"/>
      <c r="F810" s="14"/>
    </row>
    <row r="811">
      <c r="D811" s="14"/>
      <c r="F811" s="14"/>
    </row>
    <row r="812">
      <c r="D812" s="14"/>
      <c r="F812" s="14"/>
    </row>
    <row r="813">
      <c r="D813" s="14"/>
      <c r="F813" s="14"/>
    </row>
    <row r="814">
      <c r="D814" s="14"/>
      <c r="F814" s="14"/>
    </row>
    <row r="815">
      <c r="D815" s="14"/>
      <c r="F815" s="14"/>
    </row>
    <row r="816">
      <c r="D816" s="14"/>
      <c r="F816" s="14"/>
    </row>
    <row r="817">
      <c r="D817" s="14"/>
      <c r="F817" s="14"/>
    </row>
    <row r="818">
      <c r="D818" s="14"/>
      <c r="F818" s="14"/>
    </row>
    <row r="819">
      <c r="D819" s="14"/>
      <c r="F819" s="14"/>
    </row>
    <row r="820">
      <c r="D820" s="14"/>
      <c r="F820" s="14"/>
    </row>
    <row r="821">
      <c r="D821" s="14"/>
      <c r="F821" s="14"/>
    </row>
    <row r="822">
      <c r="D822" s="14"/>
      <c r="F822" s="14"/>
    </row>
    <row r="823">
      <c r="D823" s="14"/>
      <c r="F823" s="14"/>
    </row>
    <row r="824">
      <c r="D824" s="14"/>
      <c r="F824" s="14"/>
    </row>
    <row r="825">
      <c r="D825" s="14"/>
      <c r="F825" s="14"/>
    </row>
    <row r="826">
      <c r="D826" s="14"/>
      <c r="F826" s="14"/>
    </row>
    <row r="827">
      <c r="D827" s="14"/>
      <c r="F827" s="14"/>
    </row>
    <row r="828">
      <c r="D828" s="14"/>
      <c r="F828" s="14"/>
    </row>
    <row r="829">
      <c r="D829" s="14"/>
      <c r="F829" s="14"/>
    </row>
    <row r="830">
      <c r="D830" s="14"/>
      <c r="F830" s="14"/>
    </row>
    <row r="831">
      <c r="D831" s="14"/>
      <c r="F831" s="14"/>
    </row>
    <row r="832">
      <c r="D832" s="14"/>
      <c r="F832" s="14"/>
    </row>
    <row r="833">
      <c r="D833" s="14"/>
      <c r="F833" s="14"/>
    </row>
    <row r="834">
      <c r="D834" s="14"/>
      <c r="F834" s="14"/>
    </row>
    <row r="835">
      <c r="D835" s="14"/>
      <c r="F835" s="14"/>
    </row>
    <row r="836">
      <c r="D836" s="14"/>
      <c r="F836" s="14"/>
    </row>
    <row r="837">
      <c r="D837" s="14"/>
      <c r="F837" s="14"/>
    </row>
    <row r="838">
      <c r="D838" s="14"/>
      <c r="F838" s="14"/>
    </row>
    <row r="839">
      <c r="D839" s="14"/>
      <c r="F839" s="14"/>
    </row>
    <row r="840">
      <c r="D840" s="14"/>
      <c r="F840" s="14"/>
    </row>
    <row r="841">
      <c r="D841" s="14"/>
      <c r="F841" s="14"/>
    </row>
    <row r="842">
      <c r="D842" s="14"/>
      <c r="F842" s="14"/>
    </row>
    <row r="843">
      <c r="D843" s="14"/>
      <c r="F843" s="14"/>
    </row>
    <row r="844">
      <c r="D844" s="14"/>
      <c r="F844" s="14"/>
    </row>
    <row r="845">
      <c r="D845" s="14"/>
      <c r="F845" s="14"/>
    </row>
    <row r="846">
      <c r="D846" s="14"/>
      <c r="F846" s="14"/>
    </row>
    <row r="847">
      <c r="D847" s="14"/>
      <c r="F847" s="14"/>
    </row>
    <row r="848">
      <c r="D848" s="14"/>
      <c r="F848" s="14"/>
    </row>
    <row r="849">
      <c r="D849" s="14"/>
      <c r="F849" s="14"/>
    </row>
    <row r="850">
      <c r="D850" s="14"/>
      <c r="F850" s="14"/>
    </row>
    <row r="851">
      <c r="D851" s="14"/>
      <c r="F851" s="14"/>
    </row>
    <row r="852">
      <c r="D852" s="14"/>
      <c r="F852" s="14"/>
    </row>
    <row r="853">
      <c r="D853" s="14"/>
      <c r="F853" s="14"/>
    </row>
    <row r="854">
      <c r="D854" s="14"/>
      <c r="F854" s="14"/>
    </row>
    <row r="855">
      <c r="D855" s="14"/>
      <c r="F855" s="14"/>
    </row>
    <row r="856">
      <c r="D856" s="14"/>
      <c r="F856" s="14"/>
    </row>
    <row r="857">
      <c r="D857" s="14"/>
      <c r="F857" s="14"/>
    </row>
    <row r="858">
      <c r="D858" s="14"/>
      <c r="F858" s="14"/>
    </row>
    <row r="859">
      <c r="D859" s="14"/>
      <c r="F859" s="14"/>
    </row>
    <row r="860">
      <c r="D860" s="14"/>
      <c r="F860" s="14"/>
    </row>
    <row r="861">
      <c r="D861" s="14"/>
      <c r="F861" s="14"/>
    </row>
    <row r="862">
      <c r="D862" s="14"/>
      <c r="F862" s="14"/>
    </row>
    <row r="863">
      <c r="D863" s="14"/>
      <c r="F863" s="14"/>
    </row>
    <row r="864">
      <c r="D864" s="14"/>
      <c r="F864" s="14"/>
    </row>
    <row r="865">
      <c r="D865" s="14"/>
      <c r="F865" s="14"/>
    </row>
    <row r="866">
      <c r="D866" s="14"/>
      <c r="F866" s="14"/>
    </row>
    <row r="867">
      <c r="D867" s="14"/>
      <c r="F867" s="14"/>
    </row>
    <row r="868">
      <c r="D868" s="14"/>
      <c r="F868" s="14"/>
    </row>
    <row r="869">
      <c r="D869" s="14"/>
      <c r="F869" s="14"/>
    </row>
    <row r="870">
      <c r="D870" s="14"/>
      <c r="F870" s="14"/>
    </row>
    <row r="871">
      <c r="D871" s="14"/>
      <c r="F871" s="14"/>
    </row>
    <row r="872">
      <c r="D872" s="14"/>
      <c r="F872" s="14"/>
    </row>
    <row r="873">
      <c r="D873" s="14"/>
      <c r="F873" s="14"/>
    </row>
    <row r="874">
      <c r="D874" s="14"/>
      <c r="F874" s="14"/>
    </row>
    <row r="875">
      <c r="D875" s="14"/>
      <c r="F875" s="14"/>
    </row>
    <row r="876">
      <c r="D876" s="14"/>
      <c r="F876" s="14"/>
    </row>
    <row r="877">
      <c r="D877" s="14"/>
      <c r="F877" s="14"/>
    </row>
    <row r="878">
      <c r="D878" s="14"/>
      <c r="F878" s="14"/>
    </row>
    <row r="879">
      <c r="D879" s="14"/>
      <c r="F879" s="14"/>
    </row>
    <row r="880">
      <c r="D880" s="14"/>
      <c r="F880" s="14"/>
    </row>
    <row r="881">
      <c r="D881" s="14"/>
      <c r="F881" s="14"/>
    </row>
    <row r="882">
      <c r="D882" s="14"/>
      <c r="F882" s="14"/>
    </row>
    <row r="883">
      <c r="D883" s="14"/>
      <c r="F883" s="14"/>
    </row>
    <row r="884">
      <c r="D884" s="14"/>
      <c r="F884" s="14"/>
    </row>
    <row r="885">
      <c r="D885" s="14"/>
      <c r="F885" s="14"/>
    </row>
    <row r="886">
      <c r="D886" s="14"/>
      <c r="F886" s="14"/>
    </row>
    <row r="887">
      <c r="D887" s="14"/>
      <c r="F887" s="14"/>
    </row>
    <row r="888">
      <c r="D888" s="14"/>
      <c r="F888" s="14"/>
    </row>
    <row r="889">
      <c r="D889" s="14"/>
      <c r="F889" s="14"/>
    </row>
    <row r="890">
      <c r="D890" s="14"/>
      <c r="F890" s="14"/>
    </row>
    <row r="891">
      <c r="D891" s="14"/>
      <c r="F891" s="14"/>
    </row>
    <row r="892">
      <c r="D892" s="14"/>
      <c r="F892" s="14"/>
    </row>
    <row r="893">
      <c r="D893" s="14"/>
      <c r="F893" s="14"/>
    </row>
    <row r="894">
      <c r="D894" s="14"/>
      <c r="F894" s="14"/>
    </row>
    <row r="895">
      <c r="D895" s="14"/>
      <c r="F895" s="14"/>
    </row>
    <row r="896">
      <c r="D896" s="14"/>
      <c r="F896" s="14"/>
    </row>
    <row r="897">
      <c r="D897" s="14"/>
      <c r="F897" s="14"/>
    </row>
    <row r="898">
      <c r="D898" s="14"/>
      <c r="F898" s="14"/>
    </row>
    <row r="899">
      <c r="D899" s="14"/>
      <c r="F899" s="14"/>
    </row>
    <row r="900">
      <c r="D900" s="14"/>
      <c r="F900" s="14"/>
    </row>
    <row r="901">
      <c r="D901" s="14"/>
      <c r="F901" s="14"/>
    </row>
    <row r="902">
      <c r="D902" s="14"/>
      <c r="F902" s="14"/>
    </row>
    <row r="903">
      <c r="D903" s="14"/>
      <c r="F903" s="14"/>
    </row>
    <row r="904">
      <c r="D904" s="14"/>
      <c r="F904" s="14"/>
    </row>
    <row r="905">
      <c r="D905" s="14"/>
      <c r="F905" s="14"/>
    </row>
    <row r="906">
      <c r="D906" s="14"/>
      <c r="F906" s="14"/>
    </row>
    <row r="907">
      <c r="D907" s="14"/>
      <c r="F907" s="14"/>
    </row>
    <row r="908">
      <c r="D908" s="14"/>
      <c r="F908" s="14"/>
    </row>
    <row r="909">
      <c r="D909" s="14"/>
      <c r="F909" s="14"/>
    </row>
    <row r="910">
      <c r="D910" s="14"/>
      <c r="F910" s="14"/>
    </row>
    <row r="911">
      <c r="D911" s="14"/>
      <c r="F911" s="14"/>
    </row>
    <row r="912">
      <c r="D912" s="14"/>
      <c r="F912" s="14"/>
    </row>
    <row r="913">
      <c r="D913" s="14"/>
      <c r="F913" s="14"/>
    </row>
    <row r="914">
      <c r="D914" s="14"/>
      <c r="F914" s="14"/>
    </row>
    <row r="915">
      <c r="D915" s="14"/>
      <c r="F915" s="14"/>
    </row>
    <row r="916">
      <c r="D916" s="14"/>
      <c r="F916" s="14"/>
    </row>
    <row r="917">
      <c r="D917" s="14"/>
      <c r="F917" s="14"/>
    </row>
    <row r="918">
      <c r="D918" s="14"/>
      <c r="F918" s="14"/>
    </row>
    <row r="919">
      <c r="D919" s="14"/>
      <c r="F919" s="14"/>
    </row>
    <row r="920">
      <c r="D920" s="14"/>
      <c r="F920" s="14"/>
    </row>
    <row r="921">
      <c r="D921" s="14"/>
      <c r="F921" s="14"/>
    </row>
    <row r="922">
      <c r="D922" s="14"/>
      <c r="F922" s="14"/>
    </row>
    <row r="923">
      <c r="D923" s="14"/>
      <c r="F923" s="14"/>
    </row>
    <row r="924">
      <c r="D924" s="14"/>
      <c r="F924" s="14"/>
    </row>
    <row r="925">
      <c r="D925" s="14"/>
      <c r="F925" s="14"/>
    </row>
    <row r="926">
      <c r="D926" s="14"/>
      <c r="F926" s="14"/>
    </row>
    <row r="927">
      <c r="D927" s="14"/>
      <c r="F927" s="14"/>
    </row>
    <row r="928">
      <c r="D928" s="14"/>
      <c r="F928" s="14"/>
    </row>
    <row r="929">
      <c r="D929" s="14"/>
      <c r="F929" s="14"/>
    </row>
    <row r="930">
      <c r="D930" s="14"/>
      <c r="F930" s="14"/>
    </row>
    <row r="931">
      <c r="D931" s="14"/>
      <c r="F931" s="14"/>
    </row>
    <row r="932">
      <c r="D932" s="14"/>
      <c r="F932" s="14"/>
    </row>
    <row r="933">
      <c r="D933" s="14"/>
      <c r="F933" s="14"/>
    </row>
    <row r="934">
      <c r="D934" s="14"/>
      <c r="F934" s="14"/>
    </row>
    <row r="935">
      <c r="D935" s="14"/>
      <c r="F935" s="14"/>
    </row>
    <row r="936">
      <c r="D936" s="14"/>
      <c r="F936" s="14"/>
    </row>
    <row r="937">
      <c r="D937" s="14"/>
      <c r="F937" s="14"/>
    </row>
    <row r="938">
      <c r="D938" s="14"/>
      <c r="F938" s="14"/>
    </row>
    <row r="939">
      <c r="D939" s="14"/>
      <c r="F939" s="14"/>
    </row>
    <row r="940">
      <c r="D940" s="14"/>
      <c r="F940" s="14"/>
    </row>
    <row r="941">
      <c r="D941" s="14"/>
      <c r="F941" s="14"/>
    </row>
    <row r="942">
      <c r="D942" s="14"/>
      <c r="F942" s="14"/>
    </row>
    <row r="943">
      <c r="D943" s="14"/>
      <c r="F943" s="14"/>
    </row>
    <row r="944">
      <c r="D944" s="14"/>
      <c r="F944" s="14"/>
    </row>
    <row r="945">
      <c r="D945" s="14"/>
      <c r="F945" s="14"/>
    </row>
    <row r="946">
      <c r="D946" s="14"/>
      <c r="F946" s="14"/>
    </row>
    <row r="947">
      <c r="D947" s="14"/>
      <c r="F947" s="14"/>
    </row>
    <row r="948">
      <c r="D948" s="14"/>
      <c r="F948" s="14"/>
    </row>
    <row r="949">
      <c r="D949" s="14"/>
      <c r="F949" s="14"/>
    </row>
    <row r="950">
      <c r="D950" s="14"/>
      <c r="F950" s="14"/>
    </row>
    <row r="951">
      <c r="D951" s="14"/>
      <c r="F951" s="14"/>
    </row>
    <row r="952">
      <c r="D952" s="14"/>
      <c r="F952" s="14"/>
    </row>
    <row r="953">
      <c r="D953" s="14"/>
      <c r="F953" s="14"/>
    </row>
    <row r="954">
      <c r="D954" s="14"/>
      <c r="F954" s="14"/>
    </row>
    <row r="955">
      <c r="D955" s="14"/>
      <c r="F955" s="14"/>
    </row>
    <row r="956">
      <c r="D956" s="14"/>
      <c r="F956" s="14"/>
    </row>
    <row r="957">
      <c r="D957" s="14"/>
      <c r="F957" s="14"/>
    </row>
    <row r="958">
      <c r="D958" s="14"/>
      <c r="F958" s="14"/>
    </row>
    <row r="959">
      <c r="D959" s="14"/>
      <c r="F959" s="14"/>
    </row>
    <row r="960">
      <c r="D960" s="14"/>
      <c r="F960" s="14"/>
    </row>
    <row r="961">
      <c r="D961" s="14"/>
      <c r="F961" s="14"/>
    </row>
    <row r="962">
      <c r="D962" s="14"/>
      <c r="F962" s="14"/>
    </row>
    <row r="963">
      <c r="D963" s="14"/>
      <c r="F963" s="14"/>
    </row>
    <row r="964">
      <c r="D964" s="14"/>
      <c r="F964" s="14"/>
    </row>
    <row r="965">
      <c r="D965" s="14"/>
      <c r="F965" s="14"/>
    </row>
    <row r="966">
      <c r="D966" s="14"/>
      <c r="F966" s="14"/>
    </row>
    <row r="967">
      <c r="D967" s="14"/>
      <c r="F967" s="14"/>
    </row>
    <row r="968">
      <c r="D968" s="14"/>
      <c r="F968" s="14"/>
    </row>
    <row r="969">
      <c r="D969" s="14"/>
      <c r="F969" s="14"/>
    </row>
    <row r="970">
      <c r="D970" s="14"/>
      <c r="F970" s="14"/>
    </row>
    <row r="971">
      <c r="D971" s="14"/>
      <c r="F971" s="14"/>
    </row>
    <row r="972">
      <c r="D972" s="14"/>
      <c r="F972" s="14"/>
    </row>
    <row r="973">
      <c r="D973" s="14"/>
      <c r="F973" s="14"/>
    </row>
    <row r="974">
      <c r="D974" s="14"/>
      <c r="F974" s="14"/>
    </row>
    <row r="975">
      <c r="D975" s="14"/>
      <c r="F975" s="14"/>
    </row>
    <row r="976">
      <c r="D976" s="14"/>
      <c r="F976" s="14"/>
    </row>
    <row r="977">
      <c r="D977" s="14"/>
      <c r="F977" s="14"/>
    </row>
    <row r="978">
      <c r="D978" s="14"/>
      <c r="F978" s="14"/>
    </row>
    <row r="979">
      <c r="D979" s="14"/>
      <c r="F979" s="14"/>
    </row>
    <row r="980">
      <c r="D980" s="14"/>
      <c r="F980" s="14"/>
    </row>
    <row r="981">
      <c r="D981" s="14"/>
      <c r="F981" s="14"/>
    </row>
    <row r="982">
      <c r="D982" s="14"/>
      <c r="F982" s="14"/>
    </row>
    <row r="983">
      <c r="D983" s="14"/>
      <c r="F983" s="14"/>
    </row>
    <row r="984">
      <c r="D984" s="14"/>
      <c r="F984" s="14"/>
    </row>
    <row r="985">
      <c r="D985" s="14"/>
      <c r="F985" s="14"/>
    </row>
    <row r="986">
      <c r="D986" s="14"/>
      <c r="F986" s="14"/>
    </row>
    <row r="987">
      <c r="D987" s="14"/>
      <c r="F987" s="14"/>
    </row>
    <row r="988">
      <c r="D988" s="14"/>
      <c r="F988" s="14"/>
    </row>
    <row r="989">
      <c r="D989" s="14"/>
      <c r="F989" s="14"/>
    </row>
    <row r="990">
      <c r="D990" s="14"/>
      <c r="F990" s="14"/>
    </row>
    <row r="991">
      <c r="D991" s="14"/>
      <c r="F991" s="14"/>
    </row>
    <row r="992">
      <c r="D992" s="14"/>
      <c r="F992" s="14"/>
    </row>
    <row r="993">
      <c r="D993" s="14"/>
      <c r="F993" s="14"/>
    </row>
    <row r="994">
      <c r="D994" s="14"/>
      <c r="F994" s="14"/>
    </row>
    <row r="995">
      <c r="D995" s="14"/>
      <c r="F995" s="14"/>
    </row>
    <row r="996">
      <c r="D996" s="14"/>
      <c r="F996" s="14"/>
    </row>
    <row r="997">
      <c r="D997" s="14"/>
      <c r="F997" s="14"/>
    </row>
    <row r="998">
      <c r="D998" s="14"/>
      <c r="F998" s="14"/>
    </row>
    <row r="999">
      <c r="D999" s="14"/>
      <c r="F999" s="14"/>
    </row>
    <row r="1000">
      <c r="D1000" s="14"/>
      <c r="F1000" s="1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4.75"/>
    <col customWidth="1" min="4" max="4" width="18.25"/>
    <col customWidth="1" min="5" max="5" width="14.25"/>
    <col customWidth="1" min="6" max="6" width="15.88"/>
    <col customWidth="1" min="8" max="8" width="13.5"/>
    <col customWidth="1" min="10" max="10" width="4.38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49" t="s">
        <v>6</v>
      </c>
      <c r="J1" s="15" t="s">
        <v>207</v>
      </c>
    </row>
    <row r="2">
      <c r="A2" s="1" t="s">
        <v>25</v>
      </c>
      <c r="B2" s="1" t="s">
        <v>326</v>
      </c>
      <c r="C2" s="1" t="s">
        <v>327</v>
      </c>
      <c r="D2" s="11">
        <v>100000.0</v>
      </c>
      <c r="J2" s="58">
        <v>0.3</v>
      </c>
    </row>
    <row r="3">
      <c r="D3" s="14"/>
      <c r="E3" s="1" t="s">
        <v>272</v>
      </c>
      <c r="F3" s="1">
        <v>30000.0</v>
      </c>
      <c r="J3" s="20"/>
    </row>
    <row r="4">
      <c r="A4" s="1" t="s">
        <v>25</v>
      </c>
      <c r="B4" s="1" t="s">
        <v>172</v>
      </c>
      <c r="C4" s="1" t="s">
        <v>327</v>
      </c>
      <c r="D4" s="11">
        <v>200000.0</v>
      </c>
      <c r="J4" s="58">
        <v>0.3</v>
      </c>
    </row>
    <row r="5">
      <c r="D5" s="14"/>
      <c r="E5" s="1" t="s">
        <v>328</v>
      </c>
      <c r="F5" s="1">
        <v>30000.0</v>
      </c>
      <c r="J5" s="20"/>
    </row>
    <row r="6">
      <c r="D6" s="14"/>
      <c r="E6" s="1" t="s">
        <v>125</v>
      </c>
      <c r="F6" s="1">
        <v>30000.0</v>
      </c>
    </row>
    <row r="7">
      <c r="D7" s="14"/>
      <c r="E7" s="1" t="s">
        <v>329</v>
      </c>
      <c r="F7" s="1">
        <v>60000.0</v>
      </c>
    </row>
    <row r="8">
      <c r="D8" s="14"/>
      <c r="E8" s="1" t="s">
        <v>289</v>
      </c>
      <c r="F8" s="1">
        <v>60000.0</v>
      </c>
    </row>
    <row r="9">
      <c r="D9" s="14"/>
      <c r="E9" s="1" t="s">
        <v>318</v>
      </c>
      <c r="F9" s="1">
        <v>30000.0</v>
      </c>
    </row>
    <row r="10">
      <c r="D10" s="14"/>
      <c r="E10" s="1" t="s">
        <v>73</v>
      </c>
      <c r="F10" s="1">
        <v>30000.0</v>
      </c>
    </row>
    <row r="11">
      <c r="D11" s="14"/>
      <c r="E11" s="1" t="s">
        <v>322</v>
      </c>
      <c r="F11" s="1">
        <v>60000.0</v>
      </c>
    </row>
    <row r="12">
      <c r="D12" s="14"/>
      <c r="E12" s="1" t="s">
        <v>97</v>
      </c>
      <c r="F12" s="1">
        <v>30000.0</v>
      </c>
    </row>
    <row r="13">
      <c r="D13" s="14"/>
      <c r="E13" s="1" t="s">
        <v>97</v>
      </c>
      <c r="F13" s="1">
        <v>60000.0</v>
      </c>
    </row>
    <row r="14">
      <c r="D14" s="14"/>
      <c r="E14" s="1" t="s">
        <v>330</v>
      </c>
      <c r="F14" s="1">
        <v>30000.0</v>
      </c>
    </row>
    <row r="15">
      <c r="D15" s="14"/>
      <c r="E15" s="1" t="s">
        <v>145</v>
      </c>
      <c r="F15" s="1">
        <v>25000.0</v>
      </c>
    </row>
    <row r="16">
      <c r="D16" s="14"/>
      <c r="E16" s="1" t="s">
        <v>331</v>
      </c>
      <c r="F16" s="1">
        <v>80000.0</v>
      </c>
    </row>
    <row r="17">
      <c r="D17" s="14"/>
    </row>
    <row r="18">
      <c r="D18" s="14"/>
    </row>
    <row r="19">
      <c r="D19" s="14"/>
    </row>
    <row r="20">
      <c r="A20" s="20"/>
      <c r="B20" s="20"/>
      <c r="C20" s="20"/>
      <c r="D20" s="20"/>
      <c r="E20" s="20"/>
      <c r="F20" s="20"/>
      <c r="G20" s="20"/>
      <c r="H20" s="15" t="s">
        <v>26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19">
        <f>SUM(D2:D18)</f>
        <v>300000</v>
      </c>
      <c r="E21" s="20"/>
      <c r="F21" s="20">
        <f>SUM(F3:F17)</f>
        <v>555000</v>
      </c>
      <c r="G21" s="20"/>
      <c r="H21" s="18">
        <f>F21/D21</f>
        <v>1.85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4.13"/>
    <col customWidth="1" min="5" max="5" width="14.5"/>
    <col customWidth="1" min="6" max="6" width="15.88"/>
    <col customWidth="1" min="7" max="7" width="13.25"/>
    <col customWidth="1" min="8" max="8" width="13.5"/>
    <col customWidth="1" min="9" max="9" width="33.75"/>
    <col customWidth="1" min="10" max="10" width="36.5"/>
    <col customWidth="1" min="11" max="11" width="22.5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49" t="s">
        <v>6</v>
      </c>
      <c r="J1" s="15" t="s">
        <v>207</v>
      </c>
      <c r="K1" s="13"/>
    </row>
    <row r="2">
      <c r="A2" s="1" t="s">
        <v>25</v>
      </c>
      <c r="B2" s="1" t="s">
        <v>332</v>
      </c>
      <c r="C2" s="1" t="s">
        <v>333</v>
      </c>
      <c r="D2" s="11">
        <v>100000.0</v>
      </c>
      <c r="J2" s="58">
        <v>0.12</v>
      </c>
      <c r="K2" s="13"/>
    </row>
    <row r="3">
      <c r="A3" s="1" t="s">
        <v>14</v>
      </c>
      <c r="D3" s="14"/>
      <c r="E3" s="1" t="s">
        <v>334</v>
      </c>
      <c r="F3" s="1">
        <v>12000.0</v>
      </c>
      <c r="J3" s="20"/>
      <c r="K3" s="13"/>
    </row>
    <row r="4">
      <c r="A4" s="1" t="s">
        <v>25</v>
      </c>
      <c r="B4" s="1" t="s">
        <v>335</v>
      </c>
      <c r="D4" s="11">
        <v>500000.0</v>
      </c>
      <c r="J4" s="58">
        <v>0.3</v>
      </c>
      <c r="K4" s="13"/>
      <c r="L4" s="17">
        <f>D4*30/100</f>
        <v>150000</v>
      </c>
    </row>
    <row r="5">
      <c r="E5" s="1" t="s">
        <v>336</v>
      </c>
      <c r="F5" s="1">
        <v>80000.0</v>
      </c>
      <c r="K5" s="13"/>
      <c r="L5" s="17">
        <f>L4/30</f>
        <v>5000</v>
      </c>
    </row>
    <row r="6">
      <c r="E6" s="1" t="s">
        <v>338</v>
      </c>
      <c r="F6" s="1">
        <v>12000.0</v>
      </c>
      <c r="K6" s="13"/>
      <c r="L6" s="17">
        <f>L5*15</f>
        <v>75000</v>
      </c>
    </row>
    <row r="7">
      <c r="F7" s="15"/>
      <c r="K7" s="13"/>
    </row>
    <row r="8">
      <c r="F8" s="15"/>
      <c r="K8" s="13"/>
    </row>
    <row r="9">
      <c r="D9" s="20"/>
      <c r="E9" s="20"/>
      <c r="F9" s="20"/>
      <c r="G9" s="20"/>
      <c r="H9" s="15" t="s">
        <v>26</v>
      </c>
      <c r="J9" s="1" t="s">
        <v>225</v>
      </c>
      <c r="K9" s="13"/>
    </row>
    <row r="10">
      <c r="D10" s="19">
        <f>SUM(D2:D8)</f>
        <v>600000</v>
      </c>
      <c r="E10" s="20"/>
      <c r="F10" s="20">
        <f>SUM(F2:F8)</f>
        <v>104000</v>
      </c>
      <c r="G10" s="20"/>
      <c r="H10" s="18">
        <f>F10/D10</f>
        <v>0.1733333333</v>
      </c>
      <c r="J10" s="17">
        <f>(D10-F10)*5/100</f>
        <v>24800</v>
      </c>
      <c r="K10" s="13"/>
    </row>
    <row r="11">
      <c r="D11" s="14"/>
      <c r="J11" s="17">
        <f t="shared" ref="J11:J12" si="1">J10</f>
        <v>24800</v>
      </c>
      <c r="K11" s="13"/>
    </row>
    <row r="12">
      <c r="D12" s="1">
        <v>600000.0</v>
      </c>
      <c r="E12" s="17">
        <f>D12*5/100</f>
        <v>30000</v>
      </c>
      <c r="J12" s="17">
        <f t="shared" si="1"/>
        <v>24800</v>
      </c>
      <c r="K12" s="13"/>
    </row>
    <row r="13">
      <c r="K13" s="13"/>
    </row>
    <row r="14">
      <c r="K14" s="13"/>
    </row>
    <row r="15">
      <c r="D15" s="22" t="s">
        <v>41</v>
      </c>
      <c r="E15" s="23"/>
      <c r="F15" s="23"/>
      <c r="G15" s="23"/>
      <c r="H15" s="23"/>
      <c r="I15" s="23"/>
      <c r="J15" s="23"/>
      <c r="K15" s="24"/>
    </row>
    <row r="16">
      <c r="D16" s="27"/>
      <c r="E16" s="28"/>
      <c r="F16" s="28"/>
      <c r="G16" s="28"/>
      <c r="H16" s="28"/>
      <c r="I16" s="28"/>
      <c r="J16" s="28"/>
      <c r="K16" s="29"/>
    </row>
    <row r="17">
      <c r="C17" s="20"/>
      <c r="D17" s="10"/>
      <c r="E17" s="10" t="s">
        <v>49</v>
      </c>
      <c r="F17" s="10" t="s">
        <v>51</v>
      </c>
      <c r="G17" s="10" t="s">
        <v>52</v>
      </c>
      <c r="H17" s="10"/>
      <c r="I17" s="10" t="s">
        <v>352</v>
      </c>
      <c r="J17" s="10" t="s">
        <v>56</v>
      </c>
      <c r="K17" s="83" t="s">
        <v>57</v>
      </c>
    </row>
    <row r="18">
      <c r="D18" s="1" t="s">
        <v>59</v>
      </c>
      <c r="E18" s="11">
        <v>100000.0</v>
      </c>
      <c r="F18" s="1">
        <v>3.0</v>
      </c>
      <c r="G18" s="38">
        <v>4.0</v>
      </c>
      <c r="I18" s="17">
        <f t="shared" ref="I18:I19" si="2">E18*F18/100</f>
        <v>3000</v>
      </c>
      <c r="J18" s="17">
        <f t="shared" ref="J18:J19" si="3">I18*G18</f>
        <v>12000</v>
      </c>
      <c r="K18" s="13">
        <f t="shared" ref="K18:K19" si="4">E18+J18</f>
        <v>112000</v>
      </c>
    </row>
    <row r="19">
      <c r="D19" s="1" t="s">
        <v>111</v>
      </c>
      <c r="E19" s="11">
        <v>500000.0</v>
      </c>
      <c r="F19" s="1">
        <v>3.0</v>
      </c>
      <c r="G19" s="38">
        <v>2.5</v>
      </c>
      <c r="I19" s="17">
        <f t="shared" si="2"/>
        <v>15000</v>
      </c>
      <c r="J19" s="17">
        <f t="shared" si="3"/>
        <v>37500</v>
      </c>
      <c r="K19" s="13">
        <f t="shared" si="4"/>
        <v>537500</v>
      </c>
    </row>
    <row r="20">
      <c r="E20" s="11"/>
      <c r="G20" s="38"/>
      <c r="K20" s="13"/>
    </row>
    <row r="21">
      <c r="E21" s="14"/>
      <c r="G21" s="40"/>
      <c r="K21" s="13"/>
    </row>
    <row r="22">
      <c r="E22" s="14"/>
      <c r="G22" s="40"/>
      <c r="K22" s="12">
        <f>SUM(K18:K20)</f>
        <v>649500</v>
      </c>
    </row>
    <row r="23">
      <c r="E23" s="14"/>
      <c r="G23" s="40"/>
      <c r="K23" s="13"/>
    </row>
    <row r="24">
      <c r="E24" s="14"/>
      <c r="G24" s="40"/>
      <c r="I24" s="44" t="s">
        <v>62</v>
      </c>
      <c r="J24" s="45"/>
      <c r="K24" s="84">
        <f>F10</f>
        <v>104000</v>
      </c>
    </row>
    <row r="25">
      <c r="E25" s="14"/>
      <c r="G25" s="40"/>
      <c r="I25" s="45"/>
      <c r="J25" s="45"/>
      <c r="K25" s="85"/>
    </row>
    <row r="26">
      <c r="A26" s="86"/>
      <c r="B26" s="86"/>
      <c r="C26" s="86"/>
      <c r="D26" s="86"/>
      <c r="E26" s="87"/>
      <c r="F26" s="86"/>
      <c r="G26" s="88"/>
      <c r="H26" s="86"/>
      <c r="I26" s="44" t="s">
        <v>72</v>
      </c>
      <c r="J26" s="35"/>
      <c r="K26" s="89">
        <f>K22-K24</f>
        <v>545500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E27" s="14"/>
      <c r="G27" s="40"/>
      <c r="I27" s="45"/>
      <c r="J27" s="45"/>
      <c r="K27" s="85"/>
    </row>
    <row r="28">
      <c r="H28" s="90">
        <v>45559.0</v>
      </c>
      <c r="I28" s="15">
        <v>1.0</v>
      </c>
      <c r="J28" s="20"/>
      <c r="K28" s="12">
        <f>K26/3</f>
        <v>181833.3333</v>
      </c>
    </row>
    <row r="29">
      <c r="H29" s="90">
        <v>45589.0</v>
      </c>
      <c r="I29" s="15">
        <v>2.0</v>
      </c>
      <c r="J29" s="20"/>
      <c r="K29" s="12">
        <f>K26/3</f>
        <v>181833.3333</v>
      </c>
    </row>
    <row r="30">
      <c r="H30" s="90">
        <v>45620.0</v>
      </c>
      <c r="I30" s="15">
        <v>3.0</v>
      </c>
      <c r="J30" s="20"/>
      <c r="K30" s="12">
        <f>K26/3</f>
        <v>181833.3333</v>
      </c>
    </row>
    <row r="31">
      <c r="K31" s="13"/>
    </row>
    <row r="32">
      <c r="K32" s="13"/>
    </row>
    <row r="33">
      <c r="K33" s="13"/>
    </row>
    <row r="34">
      <c r="K34" s="13"/>
    </row>
    <row r="35">
      <c r="K35" s="13"/>
    </row>
    <row r="36">
      <c r="K36" s="13"/>
    </row>
    <row r="37">
      <c r="K37" s="13"/>
    </row>
    <row r="38">
      <c r="K38" s="13"/>
    </row>
    <row r="39">
      <c r="K39" s="13"/>
    </row>
    <row r="40">
      <c r="K40" s="13"/>
    </row>
    <row r="41">
      <c r="K41" s="13"/>
    </row>
    <row r="42">
      <c r="K42" s="13"/>
    </row>
    <row r="43">
      <c r="K43" s="13"/>
    </row>
    <row r="44">
      <c r="K44" s="13"/>
    </row>
    <row r="45">
      <c r="K45" s="13"/>
    </row>
    <row r="46">
      <c r="K46" s="13"/>
    </row>
    <row r="47">
      <c r="K47" s="13"/>
    </row>
    <row r="48">
      <c r="K48" s="13"/>
    </row>
    <row r="49">
      <c r="K49" s="13"/>
    </row>
    <row r="50">
      <c r="K50" s="13"/>
    </row>
    <row r="51">
      <c r="K51" s="13"/>
    </row>
    <row r="52">
      <c r="K52" s="13"/>
    </row>
    <row r="53">
      <c r="K53" s="13"/>
    </row>
    <row r="54">
      <c r="K54" s="13"/>
    </row>
    <row r="55">
      <c r="K55" s="13"/>
    </row>
    <row r="56">
      <c r="K56" s="13"/>
    </row>
    <row r="57">
      <c r="K57" s="13"/>
    </row>
    <row r="58">
      <c r="K58" s="13"/>
    </row>
    <row r="59">
      <c r="K59" s="13"/>
    </row>
    <row r="60">
      <c r="K60" s="13"/>
    </row>
    <row r="61">
      <c r="K61" s="13"/>
    </row>
    <row r="62">
      <c r="K62" s="13"/>
    </row>
    <row r="63">
      <c r="K63" s="13"/>
    </row>
    <row r="64">
      <c r="K64" s="13"/>
    </row>
    <row r="65">
      <c r="K65" s="13"/>
    </row>
    <row r="66">
      <c r="K66" s="13"/>
    </row>
    <row r="67">
      <c r="K67" s="13"/>
    </row>
    <row r="68">
      <c r="K68" s="13"/>
    </row>
    <row r="69">
      <c r="K69" s="13"/>
    </row>
    <row r="70">
      <c r="K70" s="13"/>
    </row>
    <row r="71">
      <c r="K71" s="13"/>
    </row>
    <row r="72">
      <c r="K72" s="13"/>
    </row>
    <row r="73">
      <c r="K73" s="13"/>
    </row>
    <row r="74">
      <c r="K74" s="13"/>
    </row>
    <row r="75">
      <c r="K75" s="13"/>
    </row>
    <row r="76">
      <c r="K76" s="13"/>
    </row>
    <row r="77">
      <c r="K77" s="13"/>
    </row>
    <row r="78">
      <c r="K78" s="13"/>
    </row>
    <row r="79">
      <c r="K79" s="13"/>
    </row>
    <row r="80">
      <c r="K80" s="13"/>
    </row>
    <row r="81">
      <c r="K81" s="13"/>
    </row>
    <row r="82">
      <c r="K82" s="13"/>
    </row>
    <row r="83">
      <c r="K83" s="13"/>
    </row>
    <row r="84">
      <c r="K84" s="13"/>
    </row>
    <row r="85">
      <c r="K85" s="13"/>
    </row>
    <row r="86">
      <c r="K86" s="13"/>
    </row>
    <row r="87">
      <c r="K87" s="13"/>
    </row>
    <row r="88">
      <c r="K88" s="13"/>
    </row>
    <row r="89">
      <c r="K89" s="13"/>
    </row>
    <row r="90">
      <c r="K90" s="13"/>
    </row>
    <row r="91">
      <c r="K91" s="13"/>
    </row>
    <row r="92">
      <c r="K92" s="13"/>
    </row>
    <row r="93">
      <c r="K93" s="13"/>
    </row>
    <row r="94">
      <c r="K94" s="13"/>
    </row>
    <row r="95">
      <c r="K95" s="13"/>
    </row>
    <row r="96">
      <c r="K96" s="13"/>
    </row>
    <row r="97">
      <c r="K97" s="13"/>
    </row>
    <row r="98">
      <c r="K98" s="13"/>
    </row>
    <row r="99">
      <c r="K99" s="13"/>
    </row>
    <row r="100">
      <c r="K100" s="13"/>
    </row>
    <row r="101">
      <c r="K101" s="13"/>
    </row>
    <row r="102">
      <c r="K102" s="13"/>
    </row>
    <row r="103">
      <c r="K103" s="13"/>
    </row>
    <row r="104">
      <c r="K104" s="13"/>
    </row>
    <row r="105">
      <c r="K105" s="13"/>
    </row>
    <row r="106">
      <c r="K106" s="13"/>
    </row>
    <row r="107">
      <c r="K107" s="13"/>
    </row>
    <row r="108">
      <c r="K108" s="13"/>
    </row>
    <row r="109">
      <c r="K109" s="13"/>
    </row>
    <row r="110">
      <c r="K110" s="13"/>
    </row>
    <row r="111">
      <c r="K111" s="13"/>
    </row>
    <row r="112">
      <c r="K112" s="13"/>
    </row>
    <row r="113">
      <c r="K113" s="13"/>
    </row>
    <row r="114">
      <c r="K114" s="13"/>
    </row>
    <row r="115">
      <c r="K115" s="13"/>
    </row>
    <row r="116">
      <c r="K116" s="13"/>
    </row>
    <row r="117">
      <c r="K117" s="13"/>
    </row>
    <row r="118">
      <c r="K118" s="13"/>
    </row>
    <row r="119">
      <c r="K119" s="13"/>
    </row>
    <row r="120">
      <c r="K120" s="13"/>
    </row>
    <row r="121">
      <c r="K121" s="13"/>
    </row>
    <row r="122">
      <c r="K122" s="13"/>
    </row>
    <row r="123">
      <c r="K123" s="13"/>
    </row>
    <row r="124">
      <c r="K124" s="13"/>
    </row>
    <row r="125">
      <c r="K125" s="13"/>
    </row>
    <row r="126">
      <c r="K126" s="13"/>
    </row>
    <row r="127">
      <c r="K127" s="13"/>
    </row>
    <row r="128">
      <c r="K128" s="13"/>
    </row>
    <row r="129">
      <c r="K129" s="13"/>
    </row>
    <row r="130">
      <c r="K130" s="13"/>
    </row>
    <row r="131">
      <c r="K131" s="13"/>
    </row>
    <row r="132">
      <c r="K132" s="13"/>
    </row>
    <row r="133">
      <c r="K133" s="13"/>
    </row>
    <row r="134">
      <c r="K134" s="13"/>
    </row>
    <row r="135">
      <c r="K135" s="13"/>
    </row>
    <row r="136">
      <c r="K136" s="13"/>
    </row>
    <row r="137">
      <c r="K137" s="13"/>
    </row>
    <row r="138">
      <c r="K138" s="13"/>
    </row>
    <row r="139">
      <c r="K139" s="13"/>
    </row>
    <row r="140">
      <c r="K140" s="13"/>
    </row>
    <row r="141">
      <c r="K141" s="13"/>
    </row>
    <row r="142">
      <c r="K142" s="13"/>
    </row>
    <row r="143">
      <c r="K143" s="13"/>
    </row>
    <row r="144">
      <c r="K144" s="13"/>
    </row>
    <row r="145">
      <c r="K145" s="13"/>
    </row>
    <row r="146">
      <c r="K146" s="13"/>
    </row>
    <row r="147">
      <c r="K147" s="13"/>
    </row>
    <row r="148">
      <c r="K148" s="13"/>
    </row>
    <row r="149">
      <c r="K149" s="13"/>
    </row>
    <row r="150">
      <c r="K150" s="13"/>
    </row>
    <row r="151">
      <c r="K151" s="13"/>
    </row>
    <row r="152">
      <c r="K152" s="13"/>
    </row>
    <row r="153">
      <c r="K153" s="13"/>
    </row>
    <row r="154">
      <c r="K154" s="13"/>
    </row>
    <row r="155">
      <c r="K155" s="13"/>
    </row>
    <row r="156">
      <c r="K156" s="13"/>
    </row>
    <row r="157">
      <c r="K157" s="13"/>
    </row>
    <row r="158">
      <c r="K158" s="13"/>
    </row>
    <row r="159">
      <c r="K159" s="13"/>
    </row>
    <row r="160">
      <c r="K160" s="13"/>
    </row>
    <row r="161">
      <c r="K161" s="13"/>
    </row>
    <row r="162">
      <c r="K162" s="13"/>
    </row>
    <row r="163">
      <c r="K163" s="13"/>
    </row>
    <row r="164">
      <c r="K164" s="13"/>
    </row>
    <row r="165">
      <c r="K165" s="13"/>
    </row>
    <row r="166">
      <c r="K166" s="13"/>
    </row>
    <row r="167">
      <c r="K167" s="13"/>
    </row>
    <row r="168">
      <c r="K168" s="13"/>
    </row>
    <row r="169">
      <c r="K169" s="13"/>
    </row>
    <row r="170">
      <c r="K170" s="13"/>
    </row>
    <row r="171">
      <c r="K171" s="13"/>
    </row>
    <row r="172">
      <c r="K172" s="13"/>
    </row>
    <row r="173">
      <c r="K173" s="13"/>
    </row>
    <row r="174">
      <c r="K174" s="13"/>
    </row>
    <row r="175">
      <c r="K175" s="13"/>
    </row>
    <row r="176">
      <c r="K176" s="13"/>
    </row>
    <row r="177">
      <c r="K177" s="13"/>
    </row>
    <row r="178">
      <c r="K178" s="13"/>
    </row>
    <row r="179">
      <c r="K179" s="13"/>
    </row>
    <row r="180">
      <c r="K180" s="13"/>
    </row>
    <row r="181">
      <c r="K181" s="13"/>
    </row>
    <row r="182">
      <c r="K182" s="13"/>
    </row>
    <row r="183">
      <c r="K183" s="13"/>
    </row>
    <row r="184">
      <c r="K184" s="13"/>
    </row>
    <row r="185">
      <c r="K185" s="13"/>
    </row>
    <row r="186">
      <c r="K186" s="13"/>
    </row>
    <row r="187">
      <c r="K187" s="13"/>
    </row>
    <row r="188">
      <c r="K188" s="13"/>
    </row>
    <row r="189">
      <c r="K189" s="13"/>
    </row>
    <row r="190">
      <c r="K190" s="13"/>
    </row>
    <row r="191">
      <c r="K191" s="13"/>
    </row>
    <row r="192">
      <c r="K192" s="13"/>
    </row>
    <row r="193">
      <c r="K193" s="13"/>
    </row>
    <row r="194">
      <c r="K194" s="13"/>
    </row>
    <row r="195">
      <c r="K195" s="13"/>
    </row>
    <row r="196">
      <c r="K196" s="13"/>
    </row>
    <row r="197">
      <c r="K197" s="13"/>
    </row>
    <row r="198">
      <c r="K198" s="13"/>
    </row>
    <row r="199">
      <c r="K199" s="13"/>
    </row>
    <row r="200">
      <c r="K200" s="13"/>
    </row>
    <row r="201">
      <c r="K201" s="13"/>
    </row>
    <row r="202">
      <c r="K202" s="13"/>
    </row>
    <row r="203">
      <c r="K203" s="13"/>
    </row>
    <row r="204">
      <c r="K204" s="13"/>
    </row>
    <row r="205">
      <c r="K205" s="13"/>
    </row>
    <row r="206">
      <c r="K206" s="13"/>
    </row>
    <row r="207">
      <c r="K207" s="13"/>
    </row>
    <row r="208">
      <c r="K208" s="13"/>
    </row>
    <row r="209">
      <c r="K209" s="13"/>
    </row>
    <row r="210">
      <c r="K210" s="13"/>
    </row>
    <row r="211">
      <c r="K211" s="13"/>
    </row>
    <row r="212">
      <c r="K212" s="13"/>
    </row>
    <row r="213">
      <c r="K213" s="13"/>
    </row>
    <row r="214">
      <c r="K214" s="13"/>
    </row>
    <row r="215">
      <c r="K215" s="13"/>
    </row>
    <row r="216">
      <c r="K216" s="13"/>
    </row>
    <row r="217">
      <c r="K217" s="13"/>
    </row>
    <row r="218">
      <c r="K218" s="13"/>
    </row>
    <row r="219">
      <c r="K219" s="13"/>
    </row>
    <row r="220">
      <c r="K220" s="13"/>
    </row>
    <row r="221">
      <c r="K221" s="13"/>
    </row>
    <row r="222">
      <c r="K222" s="13"/>
    </row>
    <row r="223">
      <c r="K223" s="13"/>
    </row>
    <row r="224">
      <c r="K224" s="13"/>
    </row>
    <row r="225">
      <c r="K225" s="13"/>
    </row>
    <row r="226">
      <c r="K226" s="13"/>
    </row>
    <row r="227">
      <c r="K227" s="13"/>
    </row>
    <row r="228">
      <c r="K228" s="13"/>
    </row>
    <row r="229">
      <c r="K229" s="13"/>
    </row>
    <row r="230">
      <c r="K230" s="13"/>
    </row>
    <row r="231">
      <c r="K231" s="13"/>
    </row>
    <row r="232">
      <c r="K232" s="13"/>
    </row>
    <row r="233">
      <c r="K233" s="13"/>
    </row>
    <row r="234">
      <c r="K234" s="13"/>
    </row>
    <row r="235">
      <c r="K235" s="13"/>
    </row>
    <row r="236">
      <c r="K236" s="13"/>
    </row>
    <row r="237">
      <c r="K237" s="13"/>
    </row>
    <row r="238">
      <c r="K238" s="13"/>
    </row>
    <row r="239">
      <c r="K239" s="13"/>
    </row>
    <row r="240">
      <c r="K240" s="13"/>
    </row>
    <row r="241">
      <c r="K241" s="13"/>
    </row>
    <row r="242">
      <c r="K242" s="13"/>
    </row>
    <row r="243">
      <c r="K243" s="13"/>
    </row>
    <row r="244">
      <c r="K244" s="13"/>
    </row>
    <row r="245">
      <c r="K245" s="13"/>
    </row>
    <row r="246">
      <c r="K246" s="13"/>
    </row>
    <row r="247">
      <c r="K247" s="13"/>
    </row>
    <row r="248">
      <c r="K248" s="13"/>
    </row>
    <row r="249">
      <c r="K249" s="13"/>
    </row>
    <row r="250">
      <c r="K250" s="13"/>
    </row>
    <row r="251">
      <c r="K251" s="13"/>
    </row>
    <row r="252">
      <c r="K252" s="13"/>
    </row>
    <row r="253">
      <c r="K253" s="13"/>
    </row>
    <row r="254">
      <c r="K254" s="13"/>
    </row>
    <row r="255">
      <c r="K255" s="13"/>
    </row>
    <row r="256">
      <c r="K256" s="13"/>
    </row>
    <row r="257">
      <c r="K257" s="13"/>
    </row>
    <row r="258">
      <c r="K258" s="13"/>
    </row>
    <row r="259">
      <c r="K259" s="13"/>
    </row>
    <row r="260">
      <c r="K260" s="13"/>
    </row>
    <row r="261">
      <c r="K261" s="13"/>
    </row>
    <row r="262">
      <c r="K262" s="13"/>
    </row>
    <row r="263">
      <c r="K263" s="13"/>
    </row>
    <row r="264">
      <c r="K264" s="13"/>
    </row>
    <row r="265">
      <c r="K265" s="13"/>
    </row>
    <row r="266">
      <c r="K266" s="13"/>
    </row>
    <row r="267">
      <c r="K267" s="13"/>
    </row>
    <row r="268">
      <c r="K268" s="13"/>
    </row>
    <row r="269">
      <c r="K269" s="13"/>
    </row>
    <row r="270">
      <c r="K270" s="13"/>
    </row>
    <row r="271">
      <c r="K271" s="13"/>
    </row>
    <row r="272">
      <c r="K272" s="13"/>
    </row>
    <row r="273">
      <c r="K273" s="13"/>
    </row>
    <row r="274">
      <c r="K274" s="13"/>
    </row>
    <row r="275">
      <c r="K275" s="13"/>
    </row>
    <row r="276">
      <c r="K276" s="13"/>
    </row>
    <row r="277">
      <c r="K277" s="13"/>
    </row>
    <row r="278">
      <c r="K278" s="13"/>
    </row>
    <row r="279">
      <c r="K279" s="13"/>
    </row>
    <row r="280">
      <c r="K280" s="13"/>
    </row>
    <row r="281">
      <c r="K281" s="13"/>
    </row>
    <row r="282">
      <c r="K282" s="13"/>
    </row>
    <row r="283">
      <c r="K283" s="13"/>
    </row>
    <row r="284">
      <c r="K284" s="13"/>
    </row>
    <row r="285">
      <c r="K285" s="13"/>
    </row>
    <row r="286">
      <c r="K286" s="13"/>
    </row>
    <row r="287">
      <c r="K287" s="13"/>
    </row>
    <row r="288">
      <c r="K288" s="13"/>
    </row>
    <row r="289">
      <c r="K289" s="13"/>
    </row>
    <row r="290">
      <c r="K290" s="13"/>
    </row>
    <row r="291">
      <c r="K291" s="13"/>
    </row>
    <row r="292">
      <c r="K292" s="13"/>
    </row>
    <row r="293">
      <c r="K293" s="13"/>
    </row>
    <row r="294">
      <c r="K294" s="13"/>
    </row>
    <row r="295">
      <c r="K295" s="13"/>
    </row>
    <row r="296">
      <c r="K296" s="13"/>
    </row>
    <row r="297">
      <c r="K297" s="13"/>
    </row>
    <row r="298">
      <c r="K298" s="13"/>
    </row>
    <row r="299">
      <c r="K299" s="13"/>
    </row>
    <row r="300">
      <c r="K300" s="13"/>
    </row>
    <row r="301">
      <c r="K301" s="13"/>
    </row>
    <row r="302">
      <c r="K302" s="13"/>
    </row>
    <row r="303">
      <c r="K303" s="13"/>
    </row>
    <row r="304">
      <c r="K304" s="13"/>
    </row>
    <row r="305">
      <c r="K305" s="13"/>
    </row>
    <row r="306">
      <c r="K306" s="13"/>
    </row>
    <row r="307">
      <c r="K307" s="13"/>
    </row>
    <row r="308">
      <c r="K308" s="13"/>
    </row>
    <row r="309">
      <c r="K309" s="13"/>
    </row>
    <row r="310">
      <c r="K310" s="13"/>
    </row>
    <row r="311">
      <c r="K311" s="13"/>
    </row>
    <row r="312">
      <c r="K312" s="13"/>
    </row>
    <row r="313">
      <c r="K313" s="13"/>
    </row>
    <row r="314">
      <c r="K314" s="13"/>
    </row>
    <row r="315">
      <c r="K315" s="13"/>
    </row>
    <row r="316">
      <c r="K316" s="13"/>
    </row>
    <row r="317">
      <c r="K317" s="13"/>
    </row>
    <row r="318">
      <c r="K318" s="13"/>
    </row>
    <row r="319">
      <c r="K319" s="13"/>
    </row>
    <row r="320">
      <c r="K320" s="13"/>
    </row>
    <row r="321">
      <c r="K321" s="13"/>
    </row>
    <row r="322">
      <c r="K322" s="13"/>
    </row>
    <row r="323">
      <c r="K323" s="13"/>
    </row>
    <row r="324">
      <c r="K324" s="13"/>
    </row>
    <row r="325">
      <c r="K325" s="13"/>
    </row>
    <row r="326">
      <c r="K326" s="13"/>
    </row>
    <row r="327">
      <c r="K327" s="13"/>
    </row>
    <row r="328">
      <c r="K328" s="13"/>
    </row>
    <row r="329">
      <c r="K329" s="13"/>
    </row>
    <row r="330">
      <c r="K330" s="13"/>
    </row>
    <row r="331">
      <c r="K331" s="13"/>
    </row>
    <row r="332">
      <c r="K332" s="13"/>
    </row>
    <row r="333">
      <c r="K333" s="13"/>
    </row>
    <row r="334">
      <c r="K334" s="13"/>
    </row>
    <row r="335">
      <c r="K335" s="13"/>
    </row>
    <row r="336">
      <c r="K336" s="13"/>
    </row>
    <row r="337">
      <c r="K337" s="13"/>
    </row>
    <row r="338">
      <c r="K338" s="13"/>
    </row>
    <row r="339">
      <c r="K339" s="13"/>
    </row>
    <row r="340">
      <c r="K340" s="13"/>
    </row>
    <row r="341">
      <c r="K341" s="13"/>
    </row>
    <row r="342">
      <c r="K342" s="13"/>
    </row>
    <row r="343">
      <c r="K343" s="13"/>
    </row>
    <row r="344">
      <c r="K344" s="13"/>
    </row>
    <row r="345">
      <c r="K345" s="13"/>
    </row>
    <row r="346">
      <c r="K346" s="13"/>
    </row>
    <row r="347">
      <c r="K347" s="13"/>
    </row>
    <row r="348">
      <c r="K348" s="13"/>
    </row>
    <row r="349">
      <c r="K349" s="13"/>
    </row>
    <row r="350">
      <c r="K350" s="13"/>
    </row>
    <row r="351">
      <c r="K351" s="13"/>
    </row>
    <row r="352">
      <c r="K352" s="13"/>
    </row>
    <row r="353">
      <c r="K353" s="13"/>
    </row>
    <row r="354">
      <c r="K354" s="13"/>
    </row>
    <row r="355">
      <c r="K355" s="13"/>
    </row>
    <row r="356">
      <c r="K356" s="13"/>
    </row>
    <row r="357">
      <c r="K357" s="13"/>
    </row>
    <row r="358">
      <c r="K358" s="13"/>
    </row>
    <row r="359">
      <c r="K359" s="13"/>
    </row>
    <row r="360">
      <c r="K360" s="13"/>
    </row>
    <row r="361">
      <c r="K361" s="13"/>
    </row>
    <row r="362">
      <c r="K362" s="13"/>
    </row>
    <row r="363">
      <c r="K363" s="13"/>
    </row>
    <row r="364">
      <c r="K364" s="13"/>
    </row>
    <row r="365">
      <c r="K365" s="13"/>
    </row>
    <row r="366">
      <c r="K366" s="13"/>
    </row>
    <row r="367">
      <c r="K367" s="13"/>
    </row>
    <row r="368">
      <c r="K368" s="13"/>
    </row>
    <row r="369">
      <c r="K369" s="13"/>
    </row>
    <row r="370">
      <c r="K370" s="13"/>
    </row>
    <row r="371">
      <c r="K371" s="13"/>
    </row>
    <row r="372">
      <c r="K372" s="13"/>
    </row>
    <row r="373">
      <c r="K373" s="13"/>
    </row>
    <row r="374">
      <c r="K374" s="13"/>
    </row>
    <row r="375">
      <c r="K375" s="13"/>
    </row>
    <row r="376">
      <c r="K376" s="13"/>
    </row>
    <row r="377">
      <c r="K377" s="13"/>
    </row>
    <row r="378">
      <c r="K378" s="13"/>
    </row>
    <row r="379">
      <c r="K379" s="13"/>
    </row>
    <row r="380">
      <c r="K380" s="13"/>
    </row>
    <row r="381">
      <c r="K381" s="13"/>
    </row>
    <row r="382">
      <c r="K382" s="13"/>
    </row>
    <row r="383">
      <c r="K383" s="13"/>
    </row>
    <row r="384">
      <c r="K384" s="13"/>
    </row>
    <row r="385">
      <c r="K385" s="13"/>
    </row>
    <row r="386">
      <c r="K386" s="13"/>
    </row>
    <row r="387">
      <c r="K387" s="13"/>
    </row>
    <row r="388">
      <c r="K388" s="13"/>
    </row>
    <row r="389">
      <c r="K389" s="13"/>
    </row>
    <row r="390">
      <c r="K390" s="13"/>
    </row>
    <row r="391">
      <c r="K391" s="13"/>
    </row>
    <row r="392">
      <c r="K392" s="13"/>
    </row>
    <row r="393">
      <c r="K393" s="13"/>
    </row>
    <row r="394">
      <c r="K394" s="13"/>
    </row>
    <row r="395">
      <c r="K395" s="13"/>
    </row>
    <row r="396">
      <c r="K396" s="13"/>
    </row>
    <row r="397">
      <c r="K397" s="13"/>
    </row>
    <row r="398">
      <c r="K398" s="13"/>
    </row>
    <row r="399">
      <c r="K399" s="13"/>
    </row>
    <row r="400">
      <c r="K400" s="13"/>
    </row>
    <row r="401">
      <c r="K401" s="13"/>
    </row>
    <row r="402">
      <c r="K402" s="13"/>
    </row>
    <row r="403">
      <c r="K403" s="13"/>
    </row>
    <row r="404">
      <c r="K404" s="13"/>
    </row>
    <row r="405">
      <c r="K405" s="13"/>
    </row>
    <row r="406">
      <c r="K406" s="13"/>
    </row>
    <row r="407">
      <c r="K407" s="13"/>
    </row>
    <row r="408">
      <c r="K408" s="13"/>
    </row>
    <row r="409">
      <c r="K409" s="13"/>
    </row>
    <row r="410">
      <c r="K410" s="13"/>
    </row>
    <row r="411">
      <c r="K411" s="13"/>
    </row>
    <row r="412">
      <c r="K412" s="13"/>
    </row>
    <row r="413">
      <c r="K413" s="13"/>
    </row>
    <row r="414">
      <c r="K414" s="13"/>
    </row>
    <row r="415">
      <c r="K415" s="13"/>
    </row>
    <row r="416">
      <c r="K416" s="13"/>
    </row>
    <row r="417">
      <c r="K417" s="13"/>
    </row>
    <row r="418">
      <c r="K418" s="13"/>
    </row>
    <row r="419">
      <c r="K419" s="13"/>
    </row>
    <row r="420">
      <c r="K420" s="13"/>
    </row>
    <row r="421">
      <c r="K421" s="13"/>
    </row>
    <row r="422">
      <c r="K422" s="13"/>
    </row>
    <row r="423">
      <c r="K423" s="13"/>
    </row>
    <row r="424">
      <c r="K424" s="13"/>
    </row>
    <row r="425">
      <c r="K425" s="13"/>
    </row>
    <row r="426">
      <c r="K426" s="13"/>
    </row>
    <row r="427">
      <c r="K427" s="13"/>
    </row>
    <row r="428">
      <c r="K428" s="13"/>
    </row>
    <row r="429">
      <c r="K429" s="13"/>
    </row>
    <row r="430">
      <c r="K430" s="13"/>
    </row>
    <row r="431">
      <c r="K431" s="13"/>
    </row>
    <row r="432">
      <c r="K432" s="13"/>
    </row>
    <row r="433">
      <c r="K433" s="13"/>
    </row>
    <row r="434">
      <c r="K434" s="13"/>
    </row>
    <row r="435">
      <c r="K435" s="13"/>
    </row>
    <row r="436">
      <c r="K436" s="13"/>
    </row>
    <row r="437">
      <c r="K437" s="13"/>
    </row>
    <row r="438">
      <c r="K438" s="13"/>
    </row>
    <row r="439">
      <c r="K439" s="13"/>
    </row>
    <row r="440">
      <c r="K440" s="13"/>
    </row>
    <row r="441">
      <c r="K441" s="13"/>
    </row>
    <row r="442">
      <c r="K442" s="13"/>
    </row>
    <row r="443">
      <c r="K443" s="13"/>
    </row>
    <row r="444">
      <c r="K444" s="13"/>
    </row>
    <row r="445">
      <c r="K445" s="13"/>
    </row>
    <row r="446">
      <c r="K446" s="13"/>
    </row>
    <row r="447">
      <c r="K447" s="13"/>
    </row>
    <row r="448">
      <c r="K448" s="13"/>
    </row>
    <row r="449">
      <c r="K449" s="13"/>
    </row>
    <row r="450">
      <c r="K450" s="13"/>
    </row>
    <row r="451">
      <c r="K451" s="13"/>
    </row>
    <row r="452">
      <c r="K452" s="13"/>
    </row>
    <row r="453">
      <c r="K453" s="13"/>
    </row>
    <row r="454">
      <c r="K454" s="13"/>
    </row>
    <row r="455">
      <c r="K455" s="13"/>
    </row>
    <row r="456">
      <c r="K456" s="13"/>
    </row>
    <row r="457">
      <c r="K457" s="13"/>
    </row>
    <row r="458">
      <c r="K458" s="13"/>
    </row>
    <row r="459">
      <c r="K459" s="13"/>
    </row>
    <row r="460">
      <c r="K460" s="13"/>
    </row>
    <row r="461">
      <c r="K461" s="13"/>
    </row>
    <row r="462">
      <c r="K462" s="13"/>
    </row>
    <row r="463">
      <c r="K463" s="13"/>
    </row>
    <row r="464">
      <c r="K464" s="13"/>
    </row>
    <row r="465">
      <c r="K465" s="13"/>
    </row>
    <row r="466">
      <c r="K466" s="13"/>
    </row>
    <row r="467">
      <c r="K467" s="13"/>
    </row>
    <row r="468">
      <c r="K468" s="13"/>
    </row>
    <row r="469">
      <c r="K469" s="13"/>
    </row>
    <row r="470">
      <c r="K470" s="13"/>
    </row>
    <row r="471">
      <c r="K471" s="13"/>
    </row>
    <row r="472">
      <c r="K472" s="13"/>
    </row>
    <row r="473">
      <c r="K473" s="13"/>
    </row>
    <row r="474">
      <c r="K474" s="13"/>
    </row>
    <row r="475">
      <c r="K475" s="13"/>
    </row>
    <row r="476">
      <c r="K476" s="13"/>
    </row>
    <row r="477">
      <c r="K477" s="13"/>
    </row>
    <row r="478">
      <c r="K478" s="13"/>
    </row>
    <row r="479">
      <c r="K479" s="13"/>
    </row>
    <row r="480">
      <c r="K480" s="13"/>
    </row>
    <row r="481">
      <c r="K481" s="13"/>
    </row>
    <row r="482">
      <c r="K482" s="13"/>
    </row>
    <row r="483">
      <c r="K483" s="13"/>
    </row>
    <row r="484">
      <c r="K484" s="13"/>
    </row>
    <row r="485">
      <c r="K485" s="13"/>
    </row>
    <row r="486">
      <c r="K486" s="13"/>
    </row>
    <row r="487">
      <c r="K487" s="13"/>
    </row>
    <row r="488">
      <c r="K488" s="13"/>
    </row>
    <row r="489">
      <c r="K489" s="13"/>
    </row>
    <row r="490">
      <c r="K490" s="13"/>
    </row>
    <row r="491">
      <c r="K491" s="13"/>
    </row>
    <row r="492">
      <c r="K492" s="13"/>
    </row>
    <row r="493">
      <c r="K493" s="13"/>
    </row>
    <row r="494">
      <c r="K494" s="13"/>
    </row>
    <row r="495">
      <c r="K495" s="13"/>
    </row>
    <row r="496">
      <c r="K496" s="13"/>
    </row>
    <row r="497">
      <c r="K497" s="13"/>
    </row>
    <row r="498">
      <c r="K498" s="13"/>
    </row>
    <row r="499">
      <c r="K499" s="13"/>
    </row>
    <row r="500">
      <c r="K500" s="13"/>
    </row>
    <row r="501">
      <c r="K501" s="13"/>
    </row>
    <row r="502">
      <c r="K502" s="13"/>
    </row>
    <row r="503">
      <c r="K503" s="13"/>
    </row>
    <row r="504">
      <c r="K504" s="13"/>
    </row>
    <row r="505">
      <c r="K505" s="13"/>
    </row>
    <row r="506">
      <c r="K506" s="13"/>
    </row>
    <row r="507">
      <c r="K507" s="13"/>
    </row>
    <row r="508">
      <c r="K508" s="13"/>
    </row>
    <row r="509">
      <c r="K509" s="13"/>
    </row>
    <row r="510">
      <c r="K510" s="13"/>
    </row>
    <row r="511">
      <c r="K511" s="13"/>
    </row>
    <row r="512">
      <c r="K512" s="13"/>
    </row>
    <row r="513">
      <c r="K513" s="13"/>
    </row>
    <row r="514">
      <c r="K514" s="13"/>
    </row>
    <row r="515">
      <c r="K515" s="13"/>
    </row>
    <row r="516">
      <c r="K516" s="13"/>
    </row>
    <row r="517">
      <c r="K517" s="13"/>
    </row>
    <row r="518">
      <c r="K518" s="13"/>
    </row>
    <row r="519">
      <c r="K519" s="13"/>
    </row>
    <row r="520">
      <c r="K520" s="13"/>
    </row>
    <row r="521">
      <c r="K521" s="13"/>
    </row>
    <row r="522">
      <c r="K522" s="13"/>
    </row>
    <row r="523">
      <c r="K523" s="13"/>
    </row>
    <row r="524">
      <c r="K524" s="13"/>
    </row>
    <row r="525">
      <c r="K525" s="13"/>
    </row>
    <row r="526">
      <c r="K526" s="13"/>
    </row>
    <row r="527">
      <c r="K527" s="13"/>
    </row>
    <row r="528">
      <c r="K528" s="13"/>
    </row>
    <row r="529">
      <c r="K529" s="13"/>
    </row>
    <row r="530">
      <c r="K530" s="13"/>
    </row>
    <row r="531">
      <c r="K531" s="13"/>
    </row>
    <row r="532">
      <c r="K532" s="13"/>
    </row>
    <row r="533">
      <c r="K533" s="13"/>
    </row>
    <row r="534">
      <c r="K534" s="13"/>
    </row>
    <row r="535">
      <c r="K535" s="13"/>
    </row>
    <row r="536">
      <c r="K536" s="13"/>
    </row>
    <row r="537">
      <c r="K537" s="13"/>
    </row>
    <row r="538">
      <c r="K538" s="13"/>
    </row>
    <row r="539">
      <c r="K539" s="13"/>
    </row>
    <row r="540">
      <c r="K540" s="13"/>
    </row>
    <row r="541">
      <c r="K541" s="13"/>
    </row>
    <row r="542">
      <c r="K542" s="13"/>
    </row>
    <row r="543">
      <c r="K543" s="13"/>
    </row>
    <row r="544">
      <c r="K544" s="13"/>
    </row>
    <row r="545">
      <c r="K545" s="13"/>
    </row>
    <row r="546">
      <c r="K546" s="13"/>
    </row>
    <row r="547">
      <c r="K547" s="13"/>
    </row>
    <row r="548">
      <c r="K548" s="13"/>
    </row>
    <row r="549">
      <c r="K549" s="13"/>
    </row>
    <row r="550">
      <c r="K550" s="13"/>
    </row>
    <row r="551">
      <c r="K551" s="13"/>
    </row>
    <row r="552">
      <c r="K552" s="13"/>
    </row>
    <row r="553">
      <c r="K553" s="13"/>
    </row>
    <row r="554">
      <c r="K554" s="13"/>
    </row>
    <row r="555">
      <c r="K555" s="13"/>
    </row>
    <row r="556">
      <c r="K556" s="13"/>
    </row>
    <row r="557">
      <c r="K557" s="13"/>
    </row>
    <row r="558">
      <c r="K558" s="13"/>
    </row>
    <row r="559">
      <c r="K559" s="13"/>
    </row>
    <row r="560">
      <c r="K560" s="13"/>
    </row>
    <row r="561">
      <c r="K561" s="13"/>
    </row>
    <row r="562">
      <c r="K562" s="13"/>
    </row>
    <row r="563">
      <c r="K563" s="13"/>
    </row>
    <row r="564">
      <c r="K564" s="13"/>
    </row>
    <row r="565">
      <c r="K565" s="13"/>
    </row>
    <row r="566">
      <c r="K566" s="13"/>
    </row>
    <row r="567">
      <c r="K567" s="13"/>
    </row>
    <row r="568">
      <c r="K568" s="13"/>
    </row>
    <row r="569">
      <c r="K569" s="13"/>
    </row>
    <row r="570">
      <c r="K570" s="13"/>
    </row>
    <row r="571">
      <c r="K571" s="13"/>
    </row>
    <row r="572">
      <c r="K572" s="13"/>
    </row>
    <row r="573">
      <c r="K573" s="13"/>
    </row>
    <row r="574">
      <c r="K574" s="13"/>
    </row>
    <row r="575">
      <c r="K575" s="13"/>
    </row>
    <row r="576">
      <c r="K576" s="13"/>
    </row>
    <row r="577">
      <c r="K577" s="13"/>
    </row>
    <row r="578">
      <c r="K578" s="13"/>
    </row>
    <row r="579">
      <c r="K579" s="13"/>
    </row>
    <row r="580">
      <c r="K580" s="13"/>
    </row>
    <row r="581">
      <c r="K581" s="13"/>
    </row>
    <row r="582">
      <c r="K582" s="13"/>
    </row>
    <row r="583">
      <c r="K583" s="13"/>
    </row>
    <row r="584">
      <c r="K584" s="13"/>
    </row>
    <row r="585">
      <c r="K585" s="13"/>
    </row>
    <row r="586">
      <c r="K586" s="13"/>
    </row>
    <row r="587">
      <c r="K587" s="13"/>
    </row>
    <row r="588">
      <c r="K588" s="13"/>
    </row>
    <row r="589">
      <c r="K589" s="13"/>
    </row>
    <row r="590">
      <c r="K590" s="13"/>
    </row>
    <row r="591">
      <c r="K591" s="13"/>
    </row>
    <row r="592">
      <c r="K592" s="13"/>
    </row>
    <row r="593">
      <c r="K593" s="13"/>
    </row>
    <row r="594">
      <c r="K594" s="13"/>
    </row>
    <row r="595">
      <c r="K595" s="13"/>
    </row>
    <row r="596">
      <c r="K596" s="13"/>
    </row>
    <row r="597">
      <c r="K597" s="13"/>
    </row>
    <row r="598">
      <c r="K598" s="13"/>
    </row>
    <row r="599">
      <c r="K599" s="13"/>
    </row>
    <row r="600">
      <c r="K600" s="13"/>
    </row>
    <row r="601">
      <c r="K601" s="13"/>
    </row>
    <row r="602">
      <c r="K602" s="13"/>
    </row>
    <row r="603">
      <c r="K603" s="13"/>
    </row>
    <row r="604">
      <c r="K604" s="13"/>
    </row>
    <row r="605">
      <c r="K605" s="13"/>
    </row>
    <row r="606">
      <c r="K606" s="13"/>
    </row>
    <row r="607">
      <c r="K607" s="13"/>
    </row>
    <row r="608">
      <c r="K608" s="13"/>
    </row>
    <row r="609">
      <c r="K609" s="13"/>
    </row>
    <row r="610">
      <c r="K610" s="13"/>
    </row>
    <row r="611">
      <c r="K611" s="13"/>
    </row>
    <row r="612">
      <c r="K612" s="13"/>
    </row>
    <row r="613">
      <c r="K613" s="13"/>
    </row>
    <row r="614">
      <c r="K614" s="13"/>
    </row>
    <row r="615">
      <c r="K615" s="13"/>
    </row>
    <row r="616">
      <c r="K616" s="13"/>
    </row>
    <row r="617">
      <c r="K617" s="13"/>
    </row>
    <row r="618">
      <c r="K618" s="13"/>
    </row>
    <row r="619">
      <c r="K619" s="13"/>
    </row>
    <row r="620">
      <c r="K620" s="13"/>
    </row>
    <row r="621">
      <c r="K621" s="13"/>
    </row>
    <row r="622">
      <c r="K622" s="13"/>
    </row>
    <row r="623">
      <c r="K623" s="13"/>
    </row>
    <row r="624">
      <c r="K624" s="13"/>
    </row>
    <row r="625">
      <c r="K625" s="13"/>
    </row>
    <row r="626">
      <c r="K626" s="13"/>
    </row>
    <row r="627">
      <c r="K627" s="13"/>
    </row>
    <row r="628">
      <c r="K628" s="13"/>
    </row>
    <row r="629">
      <c r="K629" s="13"/>
    </row>
    <row r="630">
      <c r="K630" s="13"/>
    </row>
    <row r="631">
      <c r="K631" s="13"/>
    </row>
    <row r="632">
      <c r="K632" s="13"/>
    </row>
    <row r="633">
      <c r="K633" s="13"/>
    </row>
    <row r="634">
      <c r="K634" s="13"/>
    </row>
    <row r="635">
      <c r="K635" s="13"/>
    </row>
    <row r="636">
      <c r="K636" s="13"/>
    </row>
    <row r="637">
      <c r="K637" s="13"/>
    </row>
    <row r="638">
      <c r="K638" s="13"/>
    </row>
    <row r="639">
      <c r="K639" s="13"/>
    </row>
    <row r="640">
      <c r="K640" s="13"/>
    </row>
    <row r="641">
      <c r="K641" s="13"/>
    </row>
    <row r="642">
      <c r="K642" s="13"/>
    </row>
    <row r="643">
      <c r="K643" s="13"/>
    </row>
    <row r="644">
      <c r="K644" s="13"/>
    </row>
    <row r="645">
      <c r="K645" s="13"/>
    </row>
    <row r="646">
      <c r="K646" s="13"/>
    </row>
    <row r="647">
      <c r="K647" s="13"/>
    </row>
    <row r="648">
      <c r="K648" s="13"/>
    </row>
    <row r="649">
      <c r="K649" s="13"/>
    </row>
    <row r="650">
      <c r="K650" s="13"/>
    </row>
    <row r="651">
      <c r="K651" s="13"/>
    </row>
    <row r="652">
      <c r="K652" s="13"/>
    </row>
    <row r="653">
      <c r="K653" s="13"/>
    </row>
    <row r="654">
      <c r="K654" s="13"/>
    </row>
    <row r="655">
      <c r="K655" s="13"/>
    </row>
    <row r="656">
      <c r="K656" s="13"/>
    </row>
    <row r="657">
      <c r="K657" s="13"/>
    </row>
    <row r="658">
      <c r="K658" s="13"/>
    </row>
    <row r="659">
      <c r="K659" s="13"/>
    </row>
    <row r="660">
      <c r="K660" s="13"/>
    </row>
    <row r="661">
      <c r="K661" s="13"/>
    </row>
    <row r="662">
      <c r="K662" s="13"/>
    </row>
    <row r="663">
      <c r="K663" s="13"/>
    </row>
    <row r="664">
      <c r="K664" s="13"/>
    </row>
    <row r="665">
      <c r="K665" s="13"/>
    </row>
    <row r="666">
      <c r="K666" s="13"/>
    </row>
    <row r="667">
      <c r="K667" s="13"/>
    </row>
    <row r="668">
      <c r="K668" s="13"/>
    </row>
    <row r="669">
      <c r="K669" s="13"/>
    </row>
    <row r="670">
      <c r="K670" s="13"/>
    </row>
    <row r="671">
      <c r="K671" s="13"/>
    </row>
    <row r="672">
      <c r="K672" s="13"/>
    </row>
    <row r="673">
      <c r="K673" s="13"/>
    </row>
    <row r="674">
      <c r="K674" s="13"/>
    </row>
    <row r="675">
      <c r="K675" s="13"/>
    </row>
    <row r="676">
      <c r="K676" s="13"/>
    </row>
    <row r="677">
      <c r="K677" s="13"/>
    </row>
    <row r="678">
      <c r="K678" s="13"/>
    </row>
    <row r="679">
      <c r="K679" s="13"/>
    </row>
    <row r="680">
      <c r="K680" s="13"/>
    </row>
    <row r="681">
      <c r="K681" s="13"/>
    </row>
    <row r="682">
      <c r="K682" s="13"/>
    </row>
    <row r="683">
      <c r="K683" s="13"/>
    </row>
    <row r="684">
      <c r="K684" s="13"/>
    </row>
    <row r="685">
      <c r="K685" s="13"/>
    </row>
    <row r="686">
      <c r="K686" s="13"/>
    </row>
    <row r="687">
      <c r="K687" s="13"/>
    </row>
    <row r="688">
      <c r="K688" s="13"/>
    </row>
    <row r="689">
      <c r="K689" s="13"/>
    </row>
    <row r="690">
      <c r="K690" s="13"/>
    </row>
    <row r="691">
      <c r="K691" s="13"/>
    </row>
    <row r="692">
      <c r="K692" s="13"/>
    </row>
    <row r="693">
      <c r="K693" s="13"/>
    </row>
    <row r="694">
      <c r="K694" s="13"/>
    </row>
    <row r="695">
      <c r="K695" s="13"/>
    </row>
    <row r="696">
      <c r="K696" s="13"/>
    </row>
    <row r="697">
      <c r="K697" s="13"/>
    </row>
    <row r="698">
      <c r="K698" s="13"/>
    </row>
    <row r="699">
      <c r="K699" s="13"/>
    </row>
    <row r="700">
      <c r="K700" s="13"/>
    </row>
    <row r="701">
      <c r="K701" s="13"/>
    </row>
    <row r="702">
      <c r="K702" s="13"/>
    </row>
    <row r="703">
      <c r="K703" s="13"/>
    </row>
    <row r="704">
      <c r="K704" s="13"/>
    </row>
    <row r="705">
      <c r="K705" s="13"/>
    </row>
    <row r="706">
      <c r="K706" s="13"/>
    </row>
    <row r="707">
      <c r="K707" s="13"/>
    </row>
    <row r="708">
      <c r="K708" s="13"/>
    </row>
    <row r="709">
      <c r="K709" s="13"/>
    </row>
    <row r="710">
      <c r="K710" s="13"/>
    </row>
    <row r="711">
      <c r="K711" s="13"/>
    </row>
    <row r="712">
      <c r="K712" s="13"/>
    </row>
    <row r="713">
      <c r="K713" s="13"/>
    </row>
    <row r="714">
      <c r="K714" s="13"/>
    </row>
    <row r="715">
      <c r="K715" s="13"/>
    </row>
    <row r="716">
      <c r="K716" s="13"/>
    </row>
    <row r="717">
      <c r="K717" s="13"/>
    </row>
    <row r="718">
      <c r="K718" s="13"/>
    </row>
    <row r="719">
      <c r="K719" s="13"/>
    </row>
    <row r="720">
      <c r="K720" s="13"/>
    </row>
    <row r="721">
      <c r="K721" s="13"/>
    </row>
    <row r="722">
      <c r="K722" s="13"/>
    </row>
    <row r="723">
      <c r="K723" s="13"/>
    </row>
    <row r="724">
      <c r="K724" s="13"/>
    </row>
    <row r="725">
      <c r="K725" s="13"/>
    </row>
    <row r="726">
      <c r="K726" s="13"/>
    </row>
    <row r="727">
      <c r="K727" s="13"/>
    </row>
    <row r="728">
      <c r="K728" s="13"/>
    </row>
    <row r="729">
      <c r="K729" s="13"/>
    </row>
    <row r="730">
      <c r="K730" s="13"/>
    </row>
    <row r="731">
      <c r="K731" s="13"/>
    </row>
    <row r="732">
      <c r="K732" s="13"/>
    </row>
    <row r="733">
      <c r="K733" s="13"/>
    </row>
    <row r="734">
      <c r="K734" s="13"/>
    </row>
    <row r="735">
      <c r="K735" s="13"/>
    </row>
    <row r="736">
      <c r="K736" s="13"/>
    </row>
    <row r="737">
      <c r="K737" s="13"/>
    </row>
    <row r="738">
      <c r="K738" s="13"/>
    </row>
    <row r="739">
      <c r="K739" s="13"/>
    </row>
    <row r="740">
      <c r="K740" s="13"/>
    </row>
    <row r="741">
      <c r="K741" s="13"/>
    </row>
    <row r="742">
      <c r="K742" s="13"/>
    </row>
    <row r="743">
      <c r="K743" s="13"/>
    </row>
    <row r="744">
      <c r="K744" s="13"/>
    </row>
    <row r="745">
      <c r="K745" s="13"/>
    </row>
    <row r="746">
      <c r="K746" s="13"/>
    </row>
    <row r="747">
      <c r="K747" s="13"/>
    </row>
    <row r="748">
      <c r="K748" s="13"/>
    </row>
    <row r="749">
      <c r="K749" s="13"/>
    </row>
    <row r="750">
      <c r="K750" s="13"/>
    </row>
    <row r="751">
      <c r="K751" s="13"/>
    </row>
    <row r="752">
      <c r="K752" s="13"/>
    </row>
    <row r="753">
      <c r="K753" s="13"/>
    </row>
    <row r="754">
      <c r="K754" s="13"/>
    </row>
    <row r="755">
      <c r="K755" s="13"/>
    </row>
    <row r="756">
      <c r="K756" s="13"/>
    </row>
    <row r="757">
      <c r="K757" s="13"/>
    </row>
    <row r="758">
      <c r="K758" s="13"/>
    </row>
    <row r="759">
      <c r="K759" s="13"/>
    </row>
    <row r="760">
      <c r="K760" s="13"/>
    </row>
    <row r="761">
      <c r="K761" s="13"/>
    </row>
    <row r="762">
      <c r="K762" s="13"/>
    </row>
    <row r="763">
      <c r="K763" s="13"/>
    </row>
    <row r="764">
      <c r="K764" s="13"/>
    </row>
    <row r="765">
      <c r="K765" s="13"/>
    </row>
    <row r="766">
      <c r="K766" s="13"/>
    </row>
    <row r="767">
      <c r="K767" s="13"/>
    </row>
    <row r="768">
      <c r="K768" s="13"/>
    </row>
    <row r="769">
      <c r="K769" s="13"/>
    </row>
    <row r="770">
      <c r="K770" s="13"/>
    </row>
    <row r="771">
      <c r="K771" s="13"/>
    </row>
    <row r="772">
      <c r="K772" s="13"/>
    </row>
    <row r="773">
      <c r="K773" s="13"/>
    </row>
    <row r="774">
      <c r="K774" s="13"/>
    </row>
    <row r="775">
      <c r="K775" s="13"/>
    </row>
    <row r="776">
      <c r="K776" s="13"/>
    </row>
    <row r="777">
      <c r="K777" s="13"/>
    </row>
    <row r="778">
      <c r="K778" s="13"/>
    </row>
    <row r="779">
      <c r="K779" s="13"/>
    </row>
    <row r="780">
      <c r="K780" s="13"/>
    </row>
    <row r="781">
      <c r="K781" s="13"/>
    </row>
    <row r="782">
      <c r="K782" s="13"/>
    </row>
    <row r="783">
      <c r="K783" s="13"/>
    </row>
    <row r="784">
      <c r="K784" s="13"/>
    </row>
    <row r="785">
      <c r="K785" s="13"/>
    </row>
    <row r="786">
      <c r="K786" s="13"/>
    </row>
    <row r="787">
      <c r="K787" s="13"/>
    </row>
    <row r="788">
      <c r="K788" s="13"/>
    </row>
    <row r="789">
      <c r="K789" s="13"/>
    </row>
    <row r="790">
      <c r="K790" s="13"/>
    </row>
    <row r="791">
      <c r="K791" s="13"/>
    </row>
    <row r="792">
      <c r="K792" s="13"/>
    </row>
    <row r="793">
      <c r="K793" s="13"/>
    </row>
    <row r="794">
      <c r="K794" s="13"/>
    </row>
    <row r="795">
      <c r="K795" s="13"/>
    </row>
    <row r="796">
      <c r="K796" s="13"/>
    </row>
    <row r="797">
      <c r="K797" s="13"/>
    </row>
    <row r="798">
      <c r="K798" s="13"/>
    </row>
    <row r="799">
      <c r="K799" s="13"/>
    </row>
    <row r="800">
      <c r="K800" s="13"/>
    </row>
    <row r="801">
      <c r="K801" s="13"/>
    </row>
    <row r="802">
      <c r="K802" s="13"/>
    </row>
    <row r="803">
      <c r="K803" s="13"/>
    </row>
    <row r="804">
      <c r="K804" s="13"/>
    </row>
    <row r="805">
      <c r="K805" s="13"/>
    </row>
    <row r="806">
      <c r="K806" s="13"/>
    </row>
    <row r="807">
      <c r="K807" s="13"/>
    </row>
    <row r="808">
      <c r="K808" s="13"/>
    </row>
    <row r="809">
      <c r="K809" s="13"/>
    </row>
    <row r="810">
      <c r="K810" s="13"/>
    </row>
    <row r="811">
      <c r="K811" s="13"/>
    </row>
    <row r="812">
      <c r="K812" s="13"/>
    </row>
    <row r="813">
      <c r="K813" s="13"/>
    </row>
    <row r="814">
      <c r="K814" s="13"/>
    </row>
    <row r="815">
      <c r="K815" s="13"/>
    </row>
    <row r="816">
      <c r="K816" s="13"/>
    </row>
    <row r="817">
      <c r="K817" s="13"/>
    </row>
    <row r="818">
      <c r="K818" s="13"/>
    </row>
    <row r="819">
      <c r="K819" s="13"/>
    </row>
    <row r="820">
      <c r="K820" s="13"/>
    </row>
    <row r="821">
      <c r="K821" s="13"/>
    </row>
    <row r="822">
      <c r="K822" s="13"/>
    </row>
    <row r="823">
      <c r="K823" s="13"/>
    </row>
    <row r="824">
      <c r="K824" s="13"/>
    </row>
    <row r="825">
      <c r="K825" s="13"/>
    </row>
    <row r="826">
      <c r="K826" s="13"/>
    </row>
    <row r="827">
      <c r="K827" s="13"/>
    </row>
    <row r="828">
      <c r="K828" s="13"/>
    </row>
    <row r="829">
      <c r="K829" s="13"/>
    </row>
    <row r="830">
      <c r="K830" s="13"/>
    </row>
    <row r="831">
      <c r="K831" s="13"/>
    </row>
    <row r="832">
      <c r="K832" s="13"/>
    </row>
    <row r="833">
      <c r="K833" s="13"/>
    </row>
    <row r="834">
      <c r="K834" s="13"/>
    </row>
    <row r="835">
      <c r="K835" s="13"/>
    </row>
    <row r="836">
      <c r="K836" s="13"/>
    </row>
    <row r="837">
      <c r="K837" s="13"/>
    </row>
    <row r="838">
      <c r="K838" s="13"/>
    </row>
    <row r="839">
      <c r="K839" s="13"/>
    </row>
    <row r="840">
      <c r="K840" s="13"/>
    </row>
    <row r="841">
      <c r="K841" s="13"/>
    </row>
    <row r="842">
      <c r="K842" s="13"/>
    </row>
    <row r="843">
      <c r="K843" s="13"/>
    </row>
    <row r="844">
      <c r="K844" s="13"/>
    </row>
    <row r="845">
      <c r="K845" s="13"/>
    </row>
    <row r="846">
      <c r="K846" s="13"/>
    </row>
    <row r="847">
      <c r="K847" s="13"/>
    </row>
    <row r="848">
      <c r="K848" s="13"/>
    </row>
    <row r="849">
      <c r="K849" s="13"/>
    </row>
    <row r="850">
      <c r="K850" s="13"/>
    </row>
    <row r="851">
      <c r="K851" s="13"/>
    </row>
    <row r="852">
      <c r="K852" s="13"/>
    </row>
    <row r="853">
      <c r="K853" s="13"/>
    </row>
    <row r="854">
      <c r="K854" s="13"/>
    </row>
    <row r="855">
      <c r="K855" s="13"/>
    </row>
    <row r="856">
      <c r="K856" s="13"/>
    </row>
    <row r="857">
      <c r="K857" s="13"/>
    </row>
    <row r="858">
      <c r="K858" s="13"/>
    </row>
    <row r="859">
      <c r="K859" s="13"/>
    </row>
    <row r="860">
      <c r="K860" s="13"/>
    </row>
    <row r="861">
      <c r="K861" s="13"/>
    </row>
    <row r="862">
      <c r="K862" s="13"/>
    </row>
    <row r="863">
      <c r="K863" s="13"/>
    </row>
    <row r="864">
      <c r="K864" s="13"/>
    </row>
    <row r="865">
      <c r="K865" s="13"/>
    </row>
    <row r="866">
      <c r="K866" s="13"/>
    </row>
    <row r="867">
      <c r="K867" s="13"/>
    </row>
    <row r="868">
      <c r="K868" s="13"/>
    </row>
    <row r="869">
      <c r="K869" s="13"/>
    </row>
    <row r="870">
      <c r="K870" s="13"/>
    </row>
    <row r="871">
      <c r="K871" s="13"/>
    </row>
    <row r="872">
      <c r="K872" s="13"/>
    </row>
    <row r="873">
      <c r="K873" s="13"/>
    </row>
    <row r="874">
      <c r="K874" s="13"/>
    </row>
    <row r="875">
      <c r="K875" s="13"/>
    </row>
    <row r="876">
      <c r="K876" s="13"/>
    </row>
    <row r="877">
      <c r="K877" s="13"/>
    </row>
    <row r="878">
      <c r="K878" s="13"/>
    </row>
    <row r="879">
      <c r="K879" s="13"/>
    </row>
    <row r="880">
      <c r="K880" s="13"/>
    </row>
    <row r="881">
      <c r="K881" s="13"/>
    </row>
    <row r="882">
      <c r="K882" s="13"/>
    </row>
    <row r="883">
      <c r="K883" s="13"/>
    </row>
    <row r="884">
      <c r="K884" s="13"/>
    </row>
    <row r="885">
      <c r="K885" s="13"/>
    </row>
    <row r="886">
      <c r="K886" s="13"/>
    </row>
    <row r="887">
      <c r="K887" s="13"/>
    </row>
    <row r="888">
      <c r="K888" s="13"/>
    </row>
    <row r="889">
      <c r="K889" s="13"/>
    </row>
    <row r="890">
      <c r="K890" s="13"/>
    </row>
    <row r="891">
      <c r="K891" s="13"/>
    </row>
    <row r="892">
      <c r="K892" s="13"/>
    </row>
    <row r="893">
      <c r="K893" s="13"/>
    </row>
    <row r="894">
      <c r="K894" s="13"/>
    </row>
    <row r="895">
      <c r="K895" s="13"/>
    </row>
    <row r="896">
      <c r="K896" s="13"/>
    </row>
    <row r="897">
      <c r="K897" s="13"/>
    </row>
    <row r="898">
      <c r="K898" s="13"/>
    </row>
    <row r="899">
      <c r="K899" s="13"/>
    </row>
    <row r="900">
      <c r="K900" s="13"/>
    </row>
    <row r="901">
      <c r="K901" s="13"/>
    </row>
    <row r="902">
      <c r="K902" s="13"/>
    </row>
    <row r="903">
      <c r="K903" s="13"/>
    </row>
    <row r="904">
      <c r="K904" s="13"/>
    </row>
    <row r="905">
      <c r="K905" s="13"/>
    </row>
    <row r="906">
      <c r="K906" s="13"/>
    </row>
    <row r="907">
      <c r="K907" s="13"/>
    </row>
    <row r="908">
      <c r="K908" s="13"/>
    </row>
    <row r="909">
      <c r="K909" s="13"/>
    </row>
    <row r="910">
      <c r="K910" s="13"/>
    </row>
    <row r="911">
      <c r="K911" s="13"/>
    </row>
    <row r="912">
      <c r="K912" s="13"/>
    </row>
    <row r="913">
      <c r="K913" s="13"/>
    </row>
    <row r="914">
      <c r="K914" s="13"/>
    </row>
    <row r="915">
      <c r="K915" s="13"/>
    </row>
    <row r="916">
      <c r="K916" s="13"/>
    </row>
    <row r="917">
      <c r="K917" s="13"/>
    </row>
    <row r="918">
      <c r="K918" s="13"/>
    </row>
    <row r="919">
      <c r="K919" s="13"/>
    </row>
    <row r="920">
      <c r="K920" s="13"/>
    </row>
    <row r="921">
      <c r="K921" s="13"/>
    </row>
    <row r="922">
      <c r="K922" s="13"/>
    </row>
    <row r="923">
      <c r="K923" s="13"/>
    </row>
    <row r="924">
      <c r="K924" s="13"/>
    </row>
    <row r="925">
      <c r="K925" s="13"/>
    </row>
    <row r="926">
      <c r="K926" s="13"/>
    </row>
    <row r="927">
      <c r="K927" s="13"/>
    </row>
    <row r="928">
      <c r="K928" s="13"/>
    </row>
    <row r="929">
      <c r="K929" s="13"/>
    </row>
    <row r="930">
      <c r="K930" s="13"/>
    </row>
    <row r="931">
      <c r="K931" s="13"/>
    </row>
    <row r="932">
      <c r="K932" s="13"/>
    </row>
    <row r="933">
      <c r="K933" s="13"/>
    </row>
    <row r="934">
      <c r="K934" s="13"/>
    </row>
    <row r="935">
      <c r="K935" s="13"/>
    </row>
    <row r="936">
      <c r="K936" s="13"/>
    </row>
    <row r="937">
      <c r="K937" s="13"/>
    </row>
    <row r="938">
      <c r="K938" s="13"/>
    </row>
    <row r="939">
      <c r="K939" s="13"/>
    </row>
    <row r="940">
      <c r="K940" s="13"/>
    </row>
    <row r="941">
      <c r="K941" s="13"/>
    </row>
    <row r="942">
      <c r="K942" s="13"/>
    </row>
    <row r="943">
      <c r="K943" s="13"/>
    </row>
    <row r="944">
      <c r="K944" s="13"/>
    </row>
    <row r="945">
      <c r="K945" s="13"/>
    </row>
    <row r="946">
      <c r="K946" s="13"/>
    </row>
    <row r="947">
      <c r="K947" s="13"/>
    </row>
    <row r="948">
      <c r="K948" s="13"/>
    </row>
    <row r="949">
      <c r="K949" s="13"/>
    </row>
    <row r="950">
      <c r="K950" s="13"/>
    </row>
    <row r="951">
      <c r="K951" s="13"/>
    </row>
    <row r="952">
      <c r="K952" s="13"/>
    </row>
    <row r="953">
      <c r="K953" s="13"/>
    </row>
    <row r="954">
      <c r="K954" s="13"/>
    </row>
    <row r="955">
      <c r="K955" s="13"/>
    </row>
    <row r="956">
      <c r="K956" s="13"/>
    </row>
    <row r="957">
      <c r="K957" s="13"/>
    </row>
    <row r="958">
      <c r="K958" s="13"/>
    </row>
    <row r="959">
      <c r="K959" s="13"/>
    </row>
    <row r="960">
      <c r="K960" s="13"/>
    </row>
    <row r="961">
      <c r="K961" s="13"/>
    </row>
    <row r="962">
      <c r="K962" s="13"/>
    </row>
    <row r="963">
      <c r="K963" s="13"/>
    </row>
    <row r="964">
      <c r="K964" s="13"/>
    </row>
    <row r="965">
      <c r="K965" s="13"/>
    </row>
    <row r="966">
      <c r="K966" s="13"/>
    </row>
    <row r="967">
      <c r="K967" s="13"/>
    </row>
    <row r="968">
      <c r="K968" s="13"/>
    </row>
    <row r="969">
      <c r="K969" s="13"/>
    </row>
    <row r="970">
      <c r="K970" s="13"/>
    </row>
    <row r="971">
      <c r="K971" s="13"/>
    </row>
    <row r="972">
      <c r="K972" s="13"/>
    </row>
    <row r="973">
      <c r="K973" s="13"/>
    </row>
    <row r="974">
      <c r="K974" s="13"/>
    </row>
    <row r="975">
      <c r="K975" s="13"/>
    </row>
    <row r="976">
      <c r="K976" s="13"/>
    </row>
    <row r="977">
      <c r="K977" s="13"/>
    </row>
    <row r="978">
      <c r="K978" s="13"/>
    </row>
    <row r="979">
      <c r="K979" s="13"/>
    </row>
    <row r="980">
      <c r="K980" s="13"/>
    </row>
    <row r="981">
      <c r="K981" s="13"/>
    </row>
    <row r="982">
      <c r="K982" s="13"/>
    </row>
    <row r="983">
      <c r="K983" s="13"/>
    </row>
    <row r="984">
      <c r="K984" s="13"/>
    </row>
    <row r="985">
      <c r="K985" s="13"/>
    </row>
    <row r="986">
      <c r="K986" s="13"/>
    </row>
    <row r="987">
      <c r="K987" s="13"/>
    </row>
    <row r="988">
      <c r="K988" s="13"/>
    </row>
    <row r="989">
      <c r="K989" s="13"/>
    </row>
    <row r="990">
      <c r="K990" s="13"/>
    </row>
    <row r="991">
      <c r="K991" s="13"/>
    </row>
  </sheetData>
  <mergeCells count="1">
    <mergeCell ref="D15:K1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49" t="s">
        <v>6</v>
      </c>
      <c r="J1" s="15" t="s">
        <v>207</v>
      </c>
    </row>
    <row r="2">
      <c r="A2" s="1" t="s">
        <v>25</v>
      </c>
      <c r="B2" s="1" t="s">
        <v>217</v>
      </c>
      <c r="C2" s="1" t="s">
        <v>337</v>
      </c>
      <c r="D2" s="11">
        <v>500000.0</v>
      </c>
      <c r="J2" s="58">
        <v>0.25</v>
      </c>
      <c r="L2" s="17">
        <f>D2*J2</f>
        <v>125000</v>
      </c>
    </row>
    <row r="3">
      <c r="A3" s="1" t="s">
        <v>23</v>
      </c>
      <c r="E3" s="1" t="s">
        <v>339</v>
      </c>
      <c r="F3" s="1">
        <v>125000.0</v>
      </c>
    </row>
    <row r="4">
      <c r="E4" s="1" t="s">
        <v>220</v>
      </c>
      <c r="F4" s="1">
        <v>125000.0</v>
      </c>
    </row>
    <row r="5">
      <c r="E5" s="1" t="s">
        <v>341</v>
      </c>
      <c r="F5" s="1">
        <v>125000.0</v>
      </c>
    </row>
    <row r="6">
      <c r="A6" s="1" t="s">
        <v>8</v>
      </c>
      <c r="B6" s="1" t="s">
        <v>342</v>
      </c>
      <c r="C6" s="1" t="s">
        <v>337</v>
      </c>
      <c r="D6" s="1">
        <v>500000.0</v>
      </c>
      <c r="J6" s="7">
        <v>0.25</v>
      </c>
    </row>
    <row r="7">
      <c r="E7" s="1" t="s">
        <v>343</v>
      </c>
      <c r="F7" s="1">
        <v>125000.0</v>
      </c>
    </row>
    <row r="8">
      <c r="E8" s="1" t="s">
        <v>11</v>
      </c>
      <c r="F8" s="1">
        <v>83333.0</v>
      </c>
    </row>
    <row r="9">
      <c r="E9" s="1" t="s">
        <v>297</v>
      </c>
      <c r="F9" s="1">
        <v>125000.0</v>
      </c>
    </row>
    <row r="10">
      <c r="E10" s="1" t="s">
        <v>345</v>
      </c>
      <c r="F10" s="1">
        <v>125000.0</v>
      </c>
    </row>
    <row r="16">
      <c r="D16" s="20"/>
      <c r="E16" s="20"/>
      <c r="F16" s="20"/>
      <c r="G16" s="20"/>
      <c r="H16" s="15" t="s">
        <v>26</v>
      </c>
      <c r="J16" s="15" t="s">
        <v>225</v>
      </c>
    </row>
    <row r="17">
      <c r="D17" s="19">
        <f>SUM(D2:D14)</f>
        <v>1000000</v>
      </c>
      <c r="E17" s="20"/>
      <c r="F17" s="19">
        <f>SUM(F2:F14)</f>
        <v>833333</v>
      </c>
      <c r="G17" s="20"/>
      <c r="H17" s="18">
        <f>F17/D17</f>
        <v>0.833333</v>
      </c>
      <c r="J17" s="14">
        <f>(D17-F17)*5/100</f>
        <v>8333.35</v>
      </c>
    </row>
    <row r="18">
      <c r="H18" s="14">
        <f>D17-F17</f>
        <v>166667</v>
      </c>
      <c r="J18" s="14">
        <f t="shared" ref="J18:J19" si="1">J17</f>
        <v>8333.35</v>
      </c>
    </row>
    <row r="19">
      <c r="J19" s="14">
        <f t="shared" si="1"/>
        <v>8333.35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49" t="s">
        <v>6</v>
      </c>
      <c r="J1" s="15" t="s">
        <v>207</v>
      </c>
    </row>
    <row r="2">
      <c r="A2" s="1" t="s">
        <v>25</v>
      </c>
      <c r="B2" s="1" t="s">
        <v>314</v>
      </c>
      <c r="C2" s="1" t="s">
        <v>340</v>
      </c>
      <c r="D2" s="11">
        <v>100000.0</v>
      </c>
      <c r="J2" s="58">
        <v>0.15</v>
      </c>
    </row>
    <row r="3">
      <c r="A3" s="1" t="s">
        <v>23</v>
      </c>
      <c r="E3" s="1" t="s">
        <v>272</v>
      </c>
      <c r="F3" s="1">
        <v>5000.0</v>
      </c>
    </row>
    <row r="4">
      <c r="A4" s="1" t="s">
        <v>23</v>
      </c>
      <c r="E4" s="1" t="s">
        <v>273</v>
      </c>
      <c r="F4" s="1">
        <v>15000.0</v>
      </c>
    </row>
    <row r="5">
      <c r="A5" s="1" t="s">
        <v>23</v>
      </c>
      <c r="E5" s="1" t="s">
        <v>217</v>
      </c>
      <c r="F5" s="1">
        <v>15000.0</v>
      </c>
    </row>
    <row r="6">
      <c r="A6" s="1" t="s">
        <v>23</v>
      </c>
      <c r="E6" s="1" t="s">
        <v>344</v>
      </c>
      <c r="F6" s="1">
        <v>15000.0</v>
      </c>
    </row>
    <row r="7">
      <c r="A7" s="1" t="s">
        <v>346</v>
      </c>
      <c r="E7" s="1" t="s">
        <v>347</v>
      </c>
      <c r="F7" s="1">
        <v>8750.0</v>
      </c>
    </row>
    <row r="8">
      <c r="A8" s="1" t="s">
        <v>23</v>
      </c>
      <c r="E8" s="1" t="s">
        <v>348</v>
      </c>
      <c r="F8" s="1">
        <v>15000.0</v>
      </c>
    </row>
    <row r="9">
      <c r="A9" s="1" t="s">
        <v>346</v>
      </c>
      <c r="E9" s="1" t="s">
        <v>349</v>
      </c>
      <c r="F9" s="1">
        <v>8750.0</v>
      </c>
    </row>
    <row r="10">
      <c r="A10" s="1" t="s">
        <v>23</v>
      </c>
      <c r="E10" s="1" t="s">
        <v>221</v>
      </c>
      <c r="F10" s="1">
        <v>15000.0</v>
      </c>
    </row>
    <row r="11">
      <c r="A11" s="1" t="s">
        <v>346</v>
      </c>
      <c r="E11" s="1" t="s">
        <v>350</v>
      </c>
      <c r="F11" s="1">
        <v>8750.0</v>
      </c>
    </row>
    <row r="12">
      <c r="A12" s="1" t="s">
        <v>23</v>
      </c>
      <c r="E12" s="1" t="s">
        <v>351</v>
      </c>
      <c r="F12" s="1">
        <v>15000.0</v>
      </c>
    </row>
    <row r="13">
      <c r="A13" s="1" t="s">
        <v>23</v>
      </c>
      <c r="E13" s="1" t="s">
        <v>243</v>
      </c>
      <c r="F13" s="1">
        <v>15000.0</v>
      </c>
    </row>
    <row r="18">
      <c r="D18" s="20"/>
      <c r="E18" s="20"/>
      <c r="F18" s="20"/>
      <c r="G18" s="20"/>
      <c r="H18" s="15" t="s">
        <v>26</v>
      </c>
      <c r="J18" s="15" t="s">
        <v>225</v>
      </c>
    </row>
    <row r="19">
      <c r="D19" s="19">
        <f>SUM(D2:D14)</f>
        <v>100000</v>
      </c>
      <c r="E19" s="20"/>
      <c r="F19" s="19">
        <f>SUM(F4:F16)</f>
        <v>131250</v>
      </c>
      <c r="G19" s="20"/>
      <c r="H19" s="18">
        <f>F19/D19</f>
        <v>1.3125</v>
      </c>
      <c r="J19" s="14">
        <f>(D19*5/100)</f>
        <v>5000</v>
      </c>
    </row>
    <row r="20">
      <c r="J20" s="14">
        <f t="shared" ref="J20:J21" si="1">J19</f>
        <v>5000</v>
      </c>
    </row>
    <row r="21">
      <c r="J21" s="14">
        <f t="shared" si="1"/>
        <v>5000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10" max="10" width="21.38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49" t="s">
        <v>6</v>
      </c>
      <c r="J1" s="15" t="s">
        <v>207</v>
      </c>
    </row>
    <row r="2">
      <c r="A2" s="1" t="s">
        <v>25</v>
      </c>
      <c r="B2" s="1" t="s">
        <v>353</v>
      </c>
      <c r="C2" s="1" t="s">
        <v>354</v>
      </c>
      <c r="D2" s="11">
        <v>25000.0</v>
      </c>
      <c r="J2" s="58">
        <v>0.15</v>
      </c>
    </row>
    <row r="3">
      <c r="A3" s="1" t="s">
        <v>8</v>
      </c>
      <c r="B3" s="1" t="s">
        <v>355</v>
      </c>
      <c r="C3" s="1" t="s">
        <v>354</v>
      </c>
      <c r="D3" s="1">
        <v>100000.0</v>
      </c>
      <c r="J3" s="7">
        <v>0.15</v>
      </c>
    </row>
    <row r="4">
      <c r="A4" s="15" t="s">
        <v>23</v>
      </c>
      <c r="B4" s="20"/>
      <c r="C4" s="20"/>
      <c r="D4" s="20"/>
      <c r="E4" s="15" t="s">
        <v>172</v>
      </c>
      <c r="F4" s="15">
        <v>3125.0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5" t="s">
        <v>23</v>
      </c>
      <c r="B5" s="20"/>
      <c r="C5" s="20"/>
      <c r="D5" s="20"/>
      <c r="E5" s="15" t="s">
        <v>172</v>
      </c>
      <c r="F5" s="15">
        <v>15000.0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5" t="s">
        <v>23</v>
      </c>
      <c r="B6" s="20"/>
      <c r="C6" s="20"/>
      <c r="D6" s="20"/>
      <c r="E6" s="15" t="s">
        <v>217</v>
      </c>
      <c r="F6" s="15">
        <v>18125.0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5" t="s">
        <v>23</v>
      </c>
      <c r="B7" s="20"/>
      <c r="C7" s="20"/>
      <c r="D7" s="20"/>
      <c r="E7" s="15" t="s">
        <v>259</v>
      </c>
      <c r="F7" s="15">
        <v>18125.0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" t="s">
        <v>8</v>
      </c>
      <c r="B8" s="1" t="s">
        <v>358</v>
      </c>
      <c r="C8" s="1" t="s">
        <v>354</v>
      </c>
      <c r="D8" s="1">
        <v>25000.0</v>
      </c>
      <c r="J8" s="7">
        <v>0.1</v>
      </c>
    </row>
    <row r="9">
      <c r="A9" s="15" t="s">
        <v>14</v>
      </c>
      <c r="B9" s="20"/>
      <c r="C9" s="20"/>
      <c r="D9" s="20"/>
      <c r="E9" s="15" t="s">
        <v>73</v>
      </c>
      <c r="F9" s="15">
        <v>18500.0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5" t="s">
        <v>14</v>
      </c>
      <c r="B10" s="20"/>
      <c r="C10" s="20"/>
      <c r="D10" s="20"/>
      <c r="E10" s="15" t="s">
        <v>341</v>
      </c>
      <c r="F10" s="15">
        <v>21875.0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" t="s">
        <v>8</v>
      </c>
      <c r="B11" s="1" t="s">
        <v>361</v>
      </c>
      <c r="C11" s="1" t="s">
        <v>354</v>
      </c>
      <c r="D11" s="1">
        <v>50000.0</v>
      </c>
    </row>
    <row r="12">
      <c r="E12" s="1" t="s">
        <v>98</v>
      </c>
      <c r="F12" s="1">
        <v>26875.0</v>
      </c>
    </row>
    <row r="13">
      <c r="E13" s="1" t="s">
        <v>239</v>
      </c>
      <c r="F13" s="1">
        <v>1875.0</v>
      </c>
    </row>
    <row r="14">
      <c r="A14" s="1" t="s">
        <v>8</v>
      </c>
      <c r="B14" s="1" t="s">
        <v>363</v>
      </c>
      <c r="C14" s="1" t="s">
        <v>354</v>
      </c>
      <c r="D14" s="1">
        <v>50000.0</v>
      </c>
    </row>
    <row r="15">
      <c r="E15" s="1" t="s">
        <v>16</v>
      </c>
      <c r="F15" s="1">
        <v>31875.0</v>
      </c>
    </row>
    <row r="18">
      <c r="D18" s="20"/>
      <c r="E18" s="20"/>
      <c r="F18" s="20"/>
      <c r="G18" s="20"/>
      <c r="H18" s="15" t="s">
        <v>26</v>
      </c>
      <c r="J18" s="1" t="s">
        <v>225</v>
      </c>
    </row>
    <row r="19">
      <c r="D19" s="19">
        <f>SUM(D2:D14)</f>
        <v>250000</v>
      </c>
      <c r="E19" s="20"/>
      <c r="F19" s="19">
        <f>SUM(F2:F16)</f>
        <v>155375</v>
      </c>
      <c r="G19" s="20"/>
      <c r="H19" s="18">
        <f>F19/D19</f>
        <v>0.6215</v>
      </c>
      <c r="J19" s="17">
        <f>(D19-F19)*5/100</f>
        <v>4731.25</v>
      </c>
    </row>
    <row r="20">
      <c r="J20" s="17">
        <v>4731.25</v>
      </c>
    </row>
    <row r="21">
      <c r="J21" s="17">
        <v>4731.25</v>
      </c>
    </row>
    <row r="24">
      <c r="D24" s="22" t="s">
        <v>41</v>
      </c>
      <c r="E24" s="23"/>
      <c r="F24" s="23"/>
      <c r="G24" s="23"/>
      <c r="H24" s="23"/>
      <c r="I24" s="23"/>
      <c r="J24" s="24"/>
    </row>
    <row r="25">
      <c r="D25" s="27"/>
      <c r="E25" s="28"/>
      <c r="F25" s="28"/>
      <c r="G25" s="28"/>
      <c r="H25" s="28"/>
      <c r="I25" s="28"/>
      <c r="J25" s="29"/>
    </row>
    <row r="27">
      <c r="D27" s="3" t="s">
        <v>47</v>
      </c>
      <c r="E27" s="1" t="s">
        <v>48</v>
      </c>
      <c r="F27" s="1" t="s">
        <v>50</v>
      </c>
      <c r="H27" s="1" t="s">
        <v>53</v>
      </c>
      <c r="I27" s="3" t="s">
        <v>55</v>
      </c>
    </row>
    <row r="28">
      <c r="D28" s="3">
        <v>125000.0</v>
      </c>
      <c r="E28" s="1">
        <v>3.0</v>
      </c>
      <c r="F28" s="1">
        <v>8.0</v>
      </c>
      <c r="H28" s="17">
        <f t="shared" ref="H28:H31" si="1">D28*E28/100</f>
        <v>3750</v>
      </c>
      <c r="I28" s="13">
        <f t="shared" ref="I28:I31" si="2">F28*H28</f>
        <v>30000</v>
      </c>
    </row>
    <row r="29">
      <c r="D29" s="3">
        <v>50000.0</v>
      </c>
      <c r="E29" s="1">
        <v>3.0</v>
      </c>
      <c r="F29" s="1">
        <v>5.0</v>
      </c>
      <c r="H29" s="17">
        <f t="shared" si="1"/>
        <v>1500</v>
      </c>
      <c r="I29" s="13">
        <f t="shared" si="2"/>
        <v>7500</v>
      </c>
    </row>
    <row r="30">
      <c r="D30" s="3">
        <v>50000.0</v>
      </c>
      <c r="E30" s="1">
        <v>3.0</v>
      </c>
      <c r="F30" s="1">
        <v>3.0</v>
      </c>
      <c r="H30" s="17">
        <f t="shared" si="1"/>
        <v>1500</v>
      </c>
      <c r="I30" s="13">
        <f t="shared" si="2"/>
        <v>4500</v>
      </c>
    </row>
    <row r="31">
      <c r="D31" s="3">
        <v>50000.0</v>
      </c>
      <c r="E31" s="1">
        <v>3.0</v>
      </c>
      <c r="F31" s="1">
        <v>2.0</v>
      </c>
      <c r="H31" s="17">
        <f t="shared" si="1"/>
        <v>1500</v>
      </c>
      <c r="I31" s="13">
        <f t="shared" si="2"/>
        <v>3000</v>
      </c>
    </row>
    <row r="32">
      <c r="D32" s="13"/>
      <c r="I32" s="13"/>
    </row>
    <row r="33">
      <c r="D33" s="13">
        <f>SUM(D28:D31)</f>
        <v>275000</v>
      </c>
      <c r="I33" s="13">
        <f>SUM(I28:I31)</f>
        <v>45000</v>
      </c>
      <c r="K33" s="13">
        <f>SUM(D33:I33)</f>
        <v>320000</v>
      </c>
    </row>
    <row r="34">
      <c r="J34" s="1" t="s">
        <v>364</v>
      </c>
      <c r="K34" s="13">
        <f>F19</f>
        <v>155375</v>
      </c>
    </row>
    <row r="36">
      <c r="K36" s="12">
        <f>K33-K34</f>
        <v>164625</v>
      </c>
    </row>
    <row r="37">
      <c r="J37" s="1" t="s">
        <v>202</v>
      </c>
      <c r="K37" s="17">
        <f>K36/3</f>
        <v>54875</v>
      </c>
    </row>
    <row r="38">
      <c r="J38" s="1" t="s">
        <v>232</v>
      </c>
      <c r="K38" s="17">
        <f>K36/3</f>
        <v>54875</v>
      </c>
    </row>
    <row r="39">
      <c r="J39" s="1" t="s">
        <v>58</v>
      </c>
      <c r="K39" s="17">
        <f>K36/3</f>
        <v>54875</v>
      </c>
    </row>
  </sheetData>
  <mergeCells count="1">
    <mergeCell ref="D24:J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49" t="s">
        <v>6</v>
      </c>
      <c r="J1" s="15" t="s">
        <v>207</v>
      </c>
    </row>
    <row r="2">
      <c r="A2" s="1" t="s">
        <v>25</v>
      </c>
      <c r="B2" s="1" t="s">
        <v>356</v>
      </c>
      <c r="C2" s="1" t="s">
        <v>357</v>
      </c>
      <c r="D2" s="11">
        <v>50000.0</v>
      </c>
      <c r="J2" s="58">
        <v>0.25</v>
      </c>
    </row>
    <row r="3">
      <c r="A3" s="1" t="s">
        <v>25</v>
      </c>
      <c r="B3" s="1" t="s">
        <v>359</v>
      </c>
      <c r="C3" s="1" t="s">
        <v>357</v>
      </c>
      <c r="D3" s="11">
        <v>400000.0</v>
      </c>
      <c r="J3" s="7">
        <v>0.25</v>
      </c>
    </row>
    <row r="4">
      <c r="A4" s="15" t="s">
        <v>14</v>
      </c>
      <c r="B4" s="20"/>
      <c r="C4" s="20"/>
      <c r="D4" s="19"/>
      <c r="E4" s="15" t="s">
        <v>336</v>
      </c>
      <c r="F4" s="15">
        <v>71250.0</v>
      </c>
    </row>
    <row r="5">
      <c r="A5" s="1" t="s">
        <v>25</v>
      </c>
      <c r="B5" s="1" t="s">
        <v>360</v>
      </c>
      <c r="D5" s="11">
        <v>560000.0</v>
      </c>
      <c r="J5" s="7">
        <v>0.3</v>
      </c>
    </row>
    <row r="6">
      <c r="A6" s="1" t="s">
        <v>25</v>
      </c>
      <c r="B6" s="1" t="s">
        <v>360</v>
      </c>
      <c r="D6" s="11">
        <v>90000.0</v>
      </c>
      <c r="J6" s="7">
        <v>0.3</v>
      </c>
      <c r="K6" s="1" t="s">
        <v>362</v>
      </c>
    </row>
    <row r="7">
      <c r="A7" s="15" t="s">
        <v>14</v>
      </c>
      <c r="B7" s="20"/>
      <c r="C7" s="20"/>
      <c r="D7" s="53"/>
      <c r="E7" s="15" t="s">
        <v>224</v>
      </c>
      <c r="F7" s="15">
        <v>50000.0</v>
      </c>
    </row>
    <row r="8">
      <c r="A8" s="15" t="s">
        <v>14</v>
      </c>
      <c r="B8" s="20"/>
      <c r="C8" s="20"/>
      <c r="D8" s="19"/>
      <c r="E8" s="15" t="s">
        <v>16</v>
      </c>
      <c r="F8" s="15">
        <v>95000.0</v>
      </c>
    </row>
    <row r="9">
      <c r="D9" s="14"/>
    </row>
    <row r="10">
      <c r="D10" s="14"/>
    </row>
    <row r="11">
      <c r="D11" s="14"/>
    </row>
    <row r="12">
      <c r="D12" s="14"/>
    </row>
    <row r="13">
      <c r="D13" s="20"/>
      <c r="E13" s="20"/>
      <c r="F13" s="20"/>
      <c r="G13" s="20"/>
      <c r="H13" s="15" t="s">
        <v>26</v>
      </c>
      <c r="I13" s="20"/>
    </row>
    <row r="14">
      <c r="D14" s="19">
        <f>SUM(D2:D11)</f>
        <v>1100000</v>
      </c>
      <c r="E14" s="20"/>
      <c r="F14" s="20">
        <f>SUM(F2:F11)</f>
        <v>216250</v>
      </c>
      <c r="G14" s="20"/>
      <c r="H14" s="18">
        <f>F14/D14</f>
        <v>0.1965909091</v>
      </c>
      <c r="I14" s="15" t="s">
        <v>201</v>
      </c>
      <c r="J14" s="20">
        <f>(D14-F14)*5/100</f>
        <v>44187.5</v>
      </c>
    </row>
    <row r="15">
      <c r="D15" s="14"/>
      <c r="I15" s="15" t="s">
        <v>22</v>
      </c>
      <c r="J15" s="20">
        <f t="shared" ref="J15:J16" si="1">J14</f>
        <v>44187.5</v>
      </c>
    </row>
    <row r="16">
      <c r="D16" s="14"/>
      <c r="I16" s="15" t="s">
        <v>231</v>
      </c>
      <c r="J16" s="20">
        <f t="shared" si="1"/>
        <v>44187.5</v>
      </c>
    </row>
    <row r="17">
      <c r="D17" s="14"/>
      <c r="I17" s="20"/>
      <c r="J17" s="20"/>
    </row>
    <row r="18">
      <c r="D18" s="14"/>
    </row>
    <row r="19">
      <c r="D19" s="14"/>
    </row>
    <row r="20">
      <c r="D20" s="14"/>
    </row>
    <row r="21"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9.13"/>
    <col customWidth="1" min="4" max="4" width="18.25"/>
    <col customWidth="1" min="5" max="5" width="14.25"/>
    <col customWidth="1" min="6" max="6" width="15.88"/>
    <col customWidth="1" min="8" max="8" width="19.38"/>
    <col customWidth="1" min="9" max="9" width="21.0"/>
    <col customWidth="1" min="10" max="10" width="11.0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91" t="s">
        <v>6</v>
      </c>
      <c r="J1" s="15" t="s">
        <v>207</v>
      </c>
    </row>
    <row r="2">
      <c r="A2" s="1" t="s">
        <v>25</v>
      </c>
      <c r="B2" s="1" t="s">
        <v>365</v>
      </c>
      <c r="C2" s="1" t="s">
        <v>366</v>
      </c>
      <c r="D2" s="11">
        <v>50000.0</v>
      </c>
      <c r="F2" s="40"/>
      <c r="H2" s="92">
        <v>45509.0</v>
      </c>
      <c r="J2" s="93">
        <v>0.3</v>
      </c>
      <c r="L2" s="1">
        <v>20.0</v>
      </c>
    </row>
    <row r="3">
      <c r="A3" s="1" t="s">
        <v>25</v>
      </c>
      <c r="B3" s="1" t="s">
        <v>367</v>
      </c>
      <c r="C3" s="1" t="s">
        <v>366</v>
      </c>
      <c r="D3" s="11">
        <v>450000.0</v>
      </c>
      <c r="F3" s="40"/>
      <c r="H3" s="92">
        <v>45509.0</v>
      </c>
      <c r="J3" s="94">
        <v>0.3</v>
      </c>
    </row>
    <row r="4">
      <c r="D4" s="14"/>
      <c r="E4" s="1" t="s">
        <v>273</v>
      </c>
      <c r="F4" s="38">
        <v>100000.0</v>
      </c>
      <c r="J4" s="82"/>
    </row>
    <row r="5">
      <c r="D5" s="14"/>
      <c r="E5" s="1" t="s">
        <v>125</v>
      </c>
      <c r="F5" s="38">
        <v>150000.0</v>
      </c>
      <c r="J5" s="82"/>
    </row>
    <row r="6">
      <c r="A6" s="1" t="s">
        <v>8</v>
      </c>
      <c r="B6" s="1" t="s">
        <v>217</v>
      </c>
      <c r="C6" s="1" t="s">
        <v>366</v>
      </c>
      <c r="D6" s="11">
        <v>100000.0</v>
      </c>
      <c r="F6" s="40"/>
      <c r="H6" s="92">
        <v>45509.0</v>
      </c>
      <c r="J6" s="94">
        <v>0.25</v>
      </c>
    </row>
    <row r="7">
      <c r="A7" s="1" t="s">
        <v>8</v>
      </c>
      <c r="B7" s="1" t="s">
        <v>368</v>
      </c>
      <c r="C7" s="1" t="s">
        <v>366</v>
      </c>
      <c r="D7" s="11">
        <v>400000.0</v>
      </c>
      <c r="F7" s="40"/>
      <c r="H7" s="92">
        <v>45509.0</v>
      </c>
      <c r="J7" s="94">
        <v>0.25</v>
      </c>
    </row>
    <row r="8">
      <c r="D8" s="14"/>
      <c r="E8" s="1" t="s">
        <v>229</v>
      </c>
      <c r="F8" s="38">
        <v>150000.0</v>
      </c>
      <c r="J8" s="82"/>
    </row>
    <row r="9">
      <c r="D9" s="14"/>
      <c r="E9" s="1" t="s">
        <v>369</v>
      </c>
      <c r="F9" s="38">
        <v>105000.0</v>
      </c>
      <c r="J9" s="82"/>
    </row>
    <row r="10">
      <c r="D10" s="14"/>
      <c r="E10" s="1" t="s">
        <v>73</v>
      </c>
      <c r="F10" s="38">
        <v>150000.0</v>
      </c>
      <c r="J10" s="82"/>
    </row>
    <row r="11">
      <c r="D11" s="14"/>
      <c r="E11" s="1" t="s">
        <v>81</v>
      </c>
      <c r="F11" s="38">
        <v>125000.0</v>
      </c>
      <c r="J11" s="82"/>
    </row>
    <row r="12">
      <c r="D12" s="14"/>
      <c r="E12" s="1" t="s">
        <v>233</v>
      </c>
      <c r="F12" s="38">
        <v>125000.0</v>
      </c>
      <c r="J12" s="82"/>
    </row>
    <row r="13">
      <c r="D13" s="14"/>
      <c r="E13" s="1" t="s">
        <v>370</v>
      </c>
      <c r="F13" s="38">
        <v>150000.0</v>
      </c>
      <c r="J13" s="82"/>
    </row>
    <row r="14">
      <c r="D14" s="14"/>
      <c r="E14" s="1" t="s">
        <v>371</v>
      </c>
      <c r="F14" s="38">
        <v>25000.0</v>
      </c>
      <c r="J14" s="82"/>
    </row>
    <row r="15">
      <c r="D15" s="14"/>
      <c r="E15" s="1" t="s">
        <v>145</v>
      </c>
      <c r="F15" s="38">
        <v>25000.0</v>
      </c>
      <c r="J15" s="82"/>
    </row>
    <row r="16">
      <c r="D16" s="14"/>
      <c r="E16" s="1" t="s">
        <v>146</v>
      </c>
      <c r="F16" s="38">
        <v>20000.0</v>
      </c>
      <c r="J16" s="82"/>
    </row>
    <row r="17">
      <c r="D17" s="14"/>
      <c r="E17" s="1" t="s">
        <v>372</v>
      </c>
      <c r="F17" s="38">
        <v>80000.0</v>
      </c>
      <c r="J17" s="82"/>
    </row>
    <row r="18">
      <c r="D18" s="14"/>
      <c r="E18" s="1" t="s">
        <v>373</v>
      </c>
      <c r="F18" s="38">
        <v>200000.0</v>
      </c>
      <c r="J18" s="82"/>
    </row>
    <row r="19">
      <c r="D19" s="14"/>
      <c r="E19" s="1" t="s">
        <v>297</v>
      </c>
      <c r="F19" s="38">
        <v>200000.0</v>
      </c>
      <c r="J19" s="82"/>
    </row>
    <row r="20">
      <c r="D20" s="14"/>
      <c r="E20" s="1" t="s">
        <v>299</v>
      </c>
      <c r="F20" s="38">
        <v>125000.0</v>
      </c>
      <c r="J20" s="82"/>
    </row>
    <row r="21">
      <c r="D21" s="14"/>
      <c r="E21" s="1" t="s">
        <v>374</v>
      </c>
      <c r="F21" s="38">
        <v>150000.0</v>
      </c>
      <c r="J21" s="82"/>
    </row>
    <row r="22">
      <c r="A22" s="1" t="s">
        <v>8</v>
      </c>
      <c r="B22" s="1" t="s">
        <v>224</v>
      </c>
      <c r="C22" s="1" t="s">
        <v>366</v>
      </c>
      <c r="D22" s="11">
        <v>150000.0</v>
      </c>
      <c r="F22" s="40"/>
      <c r="H22" s="92">
        <v>45509.0</v>
      </c>
      <c r="J22" s="94">
        <v>0.3</v>
      </c>
    </row>
    <row r="23">
      <c r="A23" s="1" t="s">
        <v>8</v>
      </c>
      <c r="B23" s="1" t="s">
        <v>224</v>
      </c>
      <c r="C23" s="1" t="s">
        <v>366</v>
      </c>
      <c r="D23" s="11">
        <v>450000.0</v>
      </c>
      <c r="F23" s="40"/>
      <c r="H23" s="92">
        <v>45509.0</v>
      </c>
      <c r="J23" s="94">
        <v>0.3</v>
      </c>
    </row>
    <row r="24">
      <c r="D24" s="14"/>
      <c r="F24" s="40"/>
    </row>
    <row r="25">
      <c r="D25" s="14"/>
      <c r="F25" s="40"/>
    </row>
    <row r="26">
      <c r="D26" s="14"/>
      <c r="F26" s="40"/>
    </row>
    <row r="27">
      <c r="D27" s="14"/>
      <c r="F27" s="40"/>
      <c r="H27" s="15" t="s">
        <v>26</v>
      </c>
    </row>
    <row r="28">
      <c r="D28" s="14">
        <f>SUM(D2:D25)</f>
        <v>1600000</v>
      </c>
      <c r="F28" s="40">
        <f>SUM(F2:F25)</f>
        <v>1880000</v>
      </c>
      <c r="H28" s="18">
        <f>F28/D28</f>
        <v>1.175</v>
      </c>
    </row>
    <row r="29">
      <c r="D29" s="14"/>
      <c r="F29" s="40"/>
    </row>
    <row r="30">
      <c r="D30" s="11"/>
      <c r="F30" s="38"/>
    </row>
    <row r="31">
      <c r="D31" s="11"/>
      <c r="F31" s="38"/>
    </row>
    <row r="32">
      <c r="C32" s="22" t="s">
        <v>375</v>
      </c>
      <c r="D32" s="23"/>
      <c r="E32" s="23"/>
      <c r="F32" s="23"/>
      <c r="G32" s="23"/>
      <c r="H32" s="24"/>
    </row>
    <row r="33">
      <c r="C33" s="27"/>
      <c r="D33" s="28"/>
      <c r="E33" s="28"/>
      <c r="F33" s="28"/>
      <c r="G33" s="28"/>
      <c r="H33" s="29"/>
    </row>
    <row r="34">
      <c r="C34" s="32"/>
      <c r="D34" s="32" t="s">
        <v>49</v>
      </c>
      <c r="E34" s="32" t="s">
        <v>376</v>
      </c>
      <c r="F34" s="32" t="s">
        <v>52</v>
      </c>
      <c r="G34" s="32"/>
      <c r="H34" s="32" t="s">
        <v>352</v>
      </c>
      <c r="I34" s="32" t="s">
        <v>56</v>
      </c>
      <c r="J34" s="32" t="s">
        <v>57</v>
      </c>
    </row>
    <row r="35">
      <c r="C35" s="1" t="s">
        <v>59</v>
      </c>
      <c r="D35" s="11">
        <v>500000.0</v>
      </c>
      <c r="E35" s="1">
        <v>3.0</v>
      </c>
      <c r="F35" s="38">
        <v>12.0</v>
      </c>
      <c r="H35" s="17">
        <f t="shared" ref="H35:H37" si="1">D35*E35/100</f>
        <v>15000</v>
      </c>
      <c r="I35" s="17">
        <f t="shared" ref="I35:I37" si="2">H35*F35</f>
        <v>180000</v>
      </c>
      <c r="J35" s="14">
        <f t="shared" ref="J35:J37" si="3">D35+I35</f>
        <v>680000</v>
      </c>
    </row>
    <row r="36">
      <c r="C36" s="1" t="s">
        <v>111</v>
      </c>
      <c r="D36" s="11">
        <v>500000.0</v>
      </c>
      <c r="E36" s="1">
        <v>3.0</v>
      </c>
      <c r="F36" s="38">
        <v>10.0</v>
      </c>
      <c r="H36" s="17">
        <f t="shared" si="1"/>
        <v>15000</v>
      </c>
      <c r="I36" s="17">
        <f t="shared" si="2"/>
        <v>150000</v>
      </c>
      <c r="J36" s="14">
        <f t="shared" si="3"/>
        <v>650000</v>
      </c>
    </row>
    <row r="37">
      <c r="C37" s="1" t="s">
        <v>113</v>
      </c>
      <c r="D37" s="11">
        <v>600000.0</v>
      </c>
      <c r="E37" s="1">
        <v>3.0</v>
      </c>
      <c r="F37" s="38">
        <v>3.0</v>
      </c>
      <c r="H37" s="17">
        <f t="shared" si="1"/>
        <v>18000</v>
      </c>
      <c r="I37" s="17">
        <f t="shared" si="2"/>
        <v>54000</v>
      </c>
      <c r="J37" s="14">
        <f t="shared" si="3"/>
        <v>654000</v>
      </c>
    </row>
    <row r="38">
      <c r="D38" s="14"/>
      <c r="F38" s="40"/>
    </row>
    <row r="39">
      <c r="D39" s="14"/>
      <c r="F39" s="40"/>
      <c r="J39" s="19">
        <f>SUM(J35:J37)</f>
        <v>1984000</v>
      </c>
    </row>
    <row r="40">
      <c r="D40" s="14"/>
      <c r="F40" s="40"/>
    </row>
    <row r="41">
      <c r="D41" s="14"/>
      <c r="F41" s="40"/>
      <c r="H41" s="39" t="s">
        <v>62</v>
      </c>
      <c r="J41" s="95">
        <f>F28</f>
        <v>1880000</v>
      </c>
    </row>
    <row r="42">
      <c r="D42" s="14"/>
      <c r="F42" s="40"/>
    </row>
    <row r="43">
      <c r="D43" s="14"/>
      <c r="F43" s="40"/>
      <c r="H43" s="39" t="s">
        <v>72</v>
      </c>
      <c r="J43" s="96">
        <f>J39-J41</f>
        <v>104000</v>
      </c>
      <c r="L43" s="43" t="s">
        <v>69</v>
      </c>
    </row>
    <row r="44">
      <c r="D44" s="14"/>
      <c r="F44" s="40"/>
      <c r="L44" s="12">
        <f>J43/3</f>
        <v>34666.66667</v>
      </c>
      <c r="M44" s="15" t="s">
        <v>167</v>
      </c>
    </row>
    <row r="45">
      <c r="D45" s="14"/>
      <c r="F45" s="40"/>
      <c r="L45" s="12">
        <f t="shared" ref="L45:L46" si="4">L44</f>
        <v>34666.66667</v>
      </c>
      <c r="M45" s="15" t="s">
        <v>168</v>
      </c>
    </row>
    <row r="46">
      <c r="D46" s="14"/>
      <c r="F46" s="40"/>
      <c r="L46" s="12">
        <f t="shared" si="4"/>
        <v>34666.66667</v>
      </c>
      <c r="M46" s="15" t="s">
        <v>169</v>
      </c>
    </row>
    <row r="47">
      <c r="D47" s="14"/>
      <c r="F47" s="40"/>
    </row>
    <row r="48">
      <c r="D48" s="14"/>
      <c r="F48" s="40"/>
    </row>
    <row r="49">
      <c r="D49" s="14"/>
      <c r="F49" s="40"/>
    </row>
    <row r="50">
      <c r="D50" s="14"/>
      <c r="F50" s="40"/>
    </row>
    <row r="51">
      <c r="D51" s="14"/>
      <c r="F51" s="40"/>
    </row>
    <row r="52">
      <c r="D52" s="14"/>
      <c r="F52" s="40"/>
    </row>
    <row r="53">
      <c r="D53" s="14"/>
      <c r="F53" s="40"/>
    </row>
    <row r="54">
      <c r="D54" s="14"/>
      <c r="F54" s="40"/>
    </row>
    <row r="55">
      <c r="D55" s="14"/>
      <c r="F55" s="40"/>
    </row>
    <row r="56">
      <c r="D56" s="14"/>
      <c r="F56" s="40"/>
    </row>
    <row r="57">
      <c r="D57" s="14"/>
      <c r="F57" s="40"/>
    </row>
    <row r="58">
      <c r="D58" s="14"/>
      <c r="F58" s="40"/>
    </row>
    <row r="59">
      <c r="D59" s="14"/>
      <c r="F59" s="40"/>
    </row>
    <row r="60">
      <c r="D60" s="14"/>
      <c r="F60" s="40"/>
    </row>
    <row r="61">
      <c r="D61" s="14"/>
      <c r="F61" s="40"/>
    </row>
    <row r="62">
      <c r="D62" s="14"/>
      <c r="F62" s="40"/>
    </row>
    <row r="63">
      <c r="D63" s="14"/>
      <c r="F63" s="40"/>
    </row>
    <row r="64">
      <c r="D64" s="14"/>
      <c r="F64" s="40"/>
    </row>
    <row r="65">
      <c r="D65" s="14"/>
      <c r="F65" s="40"/>
    </row>
    <row r="66">
      <c r="D66" s="14"/>
      <c r="F66" s="40"/>
    </row>
    <row r="67">
      <c r="D67" s="14"/>
      <c r="F67" s="40"/>
    </row>
    <row r="68">
      <c r="D68" s="14"/>
      <c r="F68" s="40"/>
    </row>
    <row r="69">
      <c r="D69" s="14"/>
      <c r="F69" s="40"/>
    </row>
    <row r="70">
      <c r="D70" s="14"/>
      <c r="F70" s="40"/>
    </row>
    <row r="71">
      <c r="D71" s="14"/>
      <c r="F71" s="40"/>
    </row>
    <row r="72">
      <c r="D72" s="14"/>
      <c r="F72" s="40"/>
    </row>
    <row r="73">
      <c r="D73" s="14"/>
      <c r="F73" s="40"/>
    </row>
    <row r="74">
      <c r="D74" s="14"/>
      <c r="F74" s="40"/>
    </row>
    <row r="75">
      <c r="D75" s="14"/>
      <c r="F75" s="40"/>
    </row>
    <row r="76">
      <c r="D76" s="14"/>
      <c r="F76" s="40"/>
    </row>
    <row r="77">
      <c r="D77" s="14"/>
      <c r="F77" s="40"/>
    </row>
    <row r="78">
      <c r="D78" s="14"/>
      <c r="F78" s="40"/>
    </row>
    <row r="79">
      <c r="D79" s="14"/>
      <c r="F79" s="40"/>
    </row>
    <row r="80">
      <c r="D80" s="14"/>
      <c r="F80" s="40"/>
    </row>
    <row r="81">
      <c r="D81" s="14"/>
      <c r="F81" s="40"/>
    </row>
    <row r="82">
      <c r="D82" s="14"/>
      <c r="F82" s="40"/>
    </row>
    <row r="83">
      <c r="D83" s="14"/>
      <c r="F83" s="40"/>
    </row>
    <row r="84">
      <c r="D84" s="14"/>
      <c r="F84" s="40"/>
    </row>
    <row r="85">
      <c r="D85" s="14"/>
      <c r="F85" s="40"/>
    </row>
    <row r="86">
      <c r="D86" s="14"/>
      <c r="F86" s="40"/>
    </row>
    <row r="87">
      <c r="D87" s="14"/>
      <c r="F87" s="40"/>
    </row>
    <row r="88">
      <c r="D88" s="14"/>
      <c r="F88" s="40"/>
    </row>
    <row r="89">
      <c r="D89" s="14"/>
      <c r="F89" s="40"/>
    </row>
    <row r="90">
      <c r="D90" s="14"/>
      <c r="F90" s="40"/>
    </row>
    <row r="91">
      <c r="D91" s="14"/>
      <c r="F91" s="40"/>
    </row>
    <row r="92">
      <c r="D92" s="14"/>
      <c r="F92" s="40"/>
    </row>
    <row r="93">
      <c r="D93" s="14"/>
      <c r="F93" s="40"/>
    </row>
    <row r="94">
      <c r="D94" s="14"/>
      <c r="F94" s="40"/>
    </row>
    <row r="95">
      <c r="D95" s="14"/>
      <c r="F95" s="40"/>
    </row>
    <row r="96">
      <c r="D96" s="14"/>
      <c r="F96" s="40"/>
    </row>
    <row r="97">
      <c r="D97" s="14"/>
      <c r="F97" s="40"/>
    </row>
    <row r="98">
      <c r="D98" s="14"/>
      <c r="F98" s="40"/>
    </row>
    <row r="99">
      <c r="D99" s="14"/>
      <c r="F99" s="40"/>
    </row>
    <row r="100">
      <c r="D100" s="14"/>
      <c r="F100" s="40"/>
    </row>
    <row r="101">
      <c r="D101" s="14"/>
      <c r="F101" s="40"/>
    </row>
    <row r="102">
      <c r="D102" s="14"/>
      <c r="F102" s="40"/>
    </row>
    <row r="103">
      <c r="D103" s="14"/>
      <c r="F103" s="40"/>
    </row>
    <row r="104">
      <c r="D104" s="14"/>
      <c r="F104" s="40"/>
    </row>
    <row r="105">
      <c r="D105" s="14"/>
      <c r="F105" s="40"/>
    </row>
    <row r="106">
      <c r="D106" s="14"/>
      <c r="F106" s="40"/>
    </row>
    <row r="107">
      <c r="D107" s="14"/>
      <c r="F107" s="40"/>
    </row>
    <row r="108">
      <c r="D108" s="14"/>
      <c r="F108" s="40"/>
    </row>
    <row r="109">
      <c r="D109" s="14"/>
      <c r="F109" s="40"/>
    </row>
    <row r="110">
      <c r="D110" s="14"/>
      <c r="F110" s="40"/>
    </row>
    <row r="111">
      <c r="D111" s="14"/>
      <c r="F111" s="40"/>
    </row>
    <row r="112">
      <c r="D112" s="14"/>
      <c r="F112" s="40"/>
    </row>
    <row r="113">
      <c r="D113" s="14"/>
      <c r="F113" s="40"/>
    </row>
    <row r="114">
      <c r="D114" s="14"/>
      <c r="F114" s="40"/>
    </row>
    <row r="115">
      <c r="D115" s="14"/>
      <c r="F115" s="40"/>
    </row>
    <row r="116">
      <c r="D116" s="14"/>
      <c r="F116" s="40"/>
    </row>
    <row r="117">
      <c r="D117" s="14"/>
      <c r="F117" s="40"/>
    </row>
    <row r="118">
      <c r="D118" s="14"/>
      <c r="F118" s="40"/>
    </row>
    <row r="119">
      <c r="D119" s="14"/>
      <c r="F119" s="40"/>
    </row>
    <row r="120">
      <c r="D120" s="14"/>
      <c r="F120" s="40"/>
    </row>
    <row r="121">
      <c r="D121" s="14"/>
      <c r="F121" s="40"/>
    </row>
    <row r="122">
      <c r="D122" s="14"/>
      <c r="F122" s="40"/>
    </row>
    <row r="123">
      <c r="D123" s="14"/>
      <c r="F123" s="40"/>
    </row>
    <row r="124">
      <c r="D124" s="14"/>
      <c r="F124" s="40"/>
    </row>
    <row r="125">
      <c r="D125" s="14"/>
      <c r="F125" s="40"/>
    </row>
    <row r="126">
      <c r="D126" s="14"/>
      <c r="F126" s="40"/>
    </row>
    <row r="127">
      <c r="D127" s="14"/>
      <c r="F127" s="40"/>
    </row>
    <row r="128">
      <c r="D128" s="14"/>
      <c r="F128" s="40"/>
    </row>
    <row r="129">
      <c r="D129" s="14"/>
      <c r="F129" s="40"/>
    </row>
    <row r="130">
      <c r="D130" s="14"/>
      <c r="F130" s="40"/>
    </row>
    <row r="131">
      <c r="D131" s="14"/>
      <c r="F131" s="40"/>
    </row>
    <row r="132">
      <c r="D132" s="14"/>
      <c r="F132" s="40"/>
    </row>
    <row r="133">
      <c r="D133" s="14"/>
      <c r="F133" s="40"/>
    </row>
    <row r="134">
      <c r="D134" s="14"/>
      <c r="F134" s="40"/>
    </row>
    <row r="135">
      <c r="D135" s="14"/>
      <c r="F135" s="40"/>
    </row>
    <row r="136">
      <c r="D136" s="14"/>
      <c r="F136" s="40"/>
    </row>
    <row r="137">
      <c r="D137" s="14"/>
      <c r="F137" s="40"/>
    </row>
    <row r="138">
      <c r="D138" s="14"/>
      <c r="F138" s="40"/>
    </row>
    <row r="139">
      <c r="D139" s="14"/>
      <c r="F139" s="40"/>
    </row>
    <row r="140">
      <c r="D140" s="14"/>
      <c r="F140" s="40"/>
    </row>
    <row r="141">
      <c r="D141" s="14"/>
      <c r="F141" s="40"/>
    </row>
    <row r="142">
      <c r="D142" s="14"/>
      <c r="F142" s="40"/>
    </row>
    <row r="143">
      <c r="D143" s="14"/>
      <c r="F143" s="40"/>
    </row>
    <row r="144">
      <c r="D144" s="14"/>
      <c r="F144" s="40"/>
    </row>
    <row r="145">
      <c r="D145" s="14"/>
      <c r="F145" s="40"/>
    </row>
    <row r="146">
      <c r="D146" s="14"/>
      <c r="F146" s="40"/>
    </row>
    <row r="147">
      <c r="D147" s="14"/>
      <c r="F147" s="40"/>
    </row>
    <row r="148">
      <c r="D148" s="14"/>
      <c r="F148" s="40"/>
    </row>
    <row r="149">
      <c r="D149" s="14"/>
      <c r="F149" s="40"/>
    </row>
    <row r="150">
      <c r="D150" s="14"/>
      <c r="F150" s="40"/>
    </row>
    <row r="151">
      <c r="D151" s="14"/>
      <c r="F151" s="40"/>
    </row>
    <row r="152">
      <c r="D152" s="14"/>
      <c r="F152" s="40"/>
    </row>
    <row r="153">
      <c r="D153" s="14"/>
      <c r="F153" s="40"/>
    </row>
    <row r="154">
      <c r="D154" s="14"/>
      <c r="F154" s="40"/>
    </row>
    <row r="155">
      <c r="D155" s="14"/>
      <c r="F155" s="40"/>
    </row>
    <row r="156">
      <c r="D156" s="14"/>
      <c r="F156" s="40"/>
    </row>
    <row r="157">
      <c r="D157" s="14"/>
      <c r="F157" s="40"/>
    </row>
    <row r="158">
      <c r="D158" s="14"/>
      <c r="F158" s="40"/>
    </row>
    <row r="159">
      <c r="D159" s="14"/>
      <c r="F159" s="40"/>
    </row>
    <row r="160">
      <c r="D160" s="14"/>
      <c r="F160" s="40"/>
    </row>
    <row r="161">
      <c r="D161" s="14"/>
      <c r="F161" s="40"/>
    </row>
    <row r="162">
      <c r="D162" s="14"/>
      <c r="F162" s="40"/>
    </row>
    <row r="163">
      <c r="D163" s="14"/>
      <c r="F163" s="40"/>
    </row>
    <row r="164">
      <c r="D164" s="14"/>
      <c r="F164" s="40"/>
    </row>
    <row r="165">
      <c r="D165" s="14"/>
      <c r="F165" s="40"/>
    </row>
    <row r="166">
      <c r="D166" s="14"/>
      <c r="F166" s="40"/>
    </row>
    <row r="167">
      <c r="D167" s="14"/>
      <c r="F167" s="40"/>
    </row>
    <row r="168">
      <c r="D168" s="14"/>
      <c r="F168" s="40"/>
    </row>
    <row r="169">
      <c r="D169" s="14"/>
      <c r="F169" s="40"/>
    </row>
    <row r="170">
      <c r="D170" s="14"/>
      <c r="F170" s="40"/>
    </row>
    <row r="171">
      <c r="D171" s="14"/>
      <c r="F171" s="40"/>
    </row>
    <row r="172">
      <c r="D172" s="14"/>
      <c r="F172" s="40"/>
    </row>
    <row r="173">
      <c r="D173" s="14"/>
      <c r="F173" s="40"/>
    </row>
    <row r="174">
      <c r="D174" s="14"/>
      <c r="F174" s="40"/>
    </row>
    <row r="175">
      <c r="D175" s="14"/>
      <c r="F175" s="40"/>
    </row>
    <row r="176">
      <c r="D176" s="14"/>
      <c r="F176" s="40"/>
    </row>
    <row r="177">
      <c r="D177" s="14"/>
      <c r="F177" s="40"/>
    </row>
    <row r="178">
      <c r="D178" s="14"/>
      <c r="F178" s="40"/>
    </row>
    <row r="179">
      <c r="D179" s="14"/>
      <c r="F179" s="40"/>
    </row>
    <row r="180">
      <c r="D180" s="14"/>
      <c r="F180" s="40"/>
    </row>
    <row r="181">
      <c r="D181" s="14"/>
      <c r="F181" s="40"/>
    </row>
    <row r="182">
      <c r="D182" s="14"/>
      <c r="F182" s="40"/>
    </row>
    <row r="183">
      <c r="D183" s="14"/>
      <c r="F183" s="40"/>
    </row>
    <row r="184">
      <c r="D184" s="14"/>
      <c r="F184" s="40"/>
    </row>
    <row r="185">
      <c r="D185" s="14"/>
      <c r="F185" s="40"/>
    </row>
    <row r="186">
      <c r="D186" s="14"/>
      <c r="F186" s="40"/>
    </row>
    <row r="187">
      <c r="D187" s="14"/>
      <c r="F187" s="40"/>
    </row>
    <row r="188">
      <c r="D188" s="14"/>
      <c r="F188" s="40"/>
    </row>
    <row r="189">
      <c r="D189" s="14"/>
      <c r="F189" s="40"/>
    </row>
    <row r="190">
      <c r="D190" s="14"/>
      <c r="F190" s="40"/>
    </row>
    <row r="191">
      <c r="D191" s="14"/>
      <c r="F191" s="40"/>
    </row>
    <row r="192">
      <c r="D192" s="14"/>
      <c r="F192" s="40"/>
    </row>
    <row r="193">
      <c r="D193" s="14"/>
      <c r="F193" s="40"/>
    </row>
    <row r="194">
      <c r="D194" s="14"/>
      <c r="F194" s="40"/>
    </row>
    <row r="195">
      <c r="D195" s="14"/>
      <c r="F195" s="40"/>
    </row>
    <row r="196">
      <c r="D196" s="14"/>
      <c r="F196" s="40"/>
    </row>
    <row r="197">
      <c r="D197" s="14"/>
      <c r="F197" s="40"/>
    </row>
    <row r="198">
      <c r="D198" s="14"/>
      <c r="F198" s="40"/>
    </row>
    <row r="199">
      <c r="D199" s="14"/>
      <c r="F199" s="40"/>
    </row>
    <row r="200">
      <c r="D200" s="14"/>
      <c r="F200" s="40"/>
    </row>
    <row r="201">
      <c r="D201" s="14"/>
      <c r="F201" s="40"/>
    </row>
    <row r="202">
      <c r="D202" s="14"/>
      <c r="F202" s="40"/>
    </row>
    <row r="203">
      <c r="D203" s="14"/>
      <c r="F203" s="40"/>
    </row>
    <row r="204">
      <c r="D204" s="14"/>
      <c r="F204" s="40"/>
    </row>
    <row r="205">
      <c r="D205" s="14"/>
      <c r="F205" s="40"/>
    </row>
    <row r="206">
      <c r="D206" s="14"/>
      <c r="F206" s="40"/>
    </row>
    <row r="207">
      <c r="D207" s="14"/>
      <c r="F207" s="40"/>
    </row>
    <row r="208">
      <c r="D208" s="14"/>
      <c r="F208" s="40"/>
    </row>
    <row r="209">
      <c r="D209" s="14"/>
      <c r="F209" s="40"/>
    </row>
    <row r="210">
      <c r="D210" s="14"/>
      <c r="F210" s="40"/>
    </row>
    <row r="211">
      <c r="D211" s="14"/>
      <c r="F211" s="40"/>
    </row>
    <row r="212">
      <c r="D212" s="14"/>
      <c r="F212" s="40"/>
    </row>
    <row r="213">
      <c r="D213" s="14"/>
      <c r="F213" s="40"/>
    </row>
    <row r="214">
      <c r="D214" s="14"/>
      <c r="F214" s="40"/>
    </row>
    <row r="215">
      <c r="D215" s="14"/>
      <c r="F215" s="40"/>
    </row>
    <row r="216">
      <c r="D216" s="14"/>
      <c r="F216" s="40"/>
    </row>
    <row r="217">
      <c r="D217" s="14"/>
      <c r="F217" s="40"/>
    </row>
    <row r="218">
      <c r="D218" s="14"/>
      <c r="F218" s="40"/>
    </row>
    <row r="219">
      <c r="D219" s="14"/>
      <c r="F219" s="40"/>
    </row>
    <row r="220">
      <c r="D220" s="14"/>
      <c r="F220" s="40"/>
    </row>
    <row r="221">
      <c r="D221" s="14"/>
      <c r="F221" s="40"/>
    </row>
    <row r="222">
      <c r="D222" s="14"/>
      <c r="F222" s="40"/>
    </row>
    <row r="223">
      <c r="D223" s="14"/>
      <c r="F223" s="40"/>
    </row>
    <row r="224">
      <c r="D224" s="14"/>
      <c r="F224" s="40"/>
    </row>
    <row r="225">
      <c r="D225" s="14"/>
      <c r="F225" s="40"/>
    </row>
    <row r="226">
      <c r="D226" s="14"/>
      <c r="F226" s="40"/>
    </row>
    <row r="227">
      <c r="D227" s="14"/>
      <c r="F227" s="40"/>
    </row>
    <row r="228">
      <c r="D228" s="14"/>
      <c r="F228" s="40"/>
    </row>
    <row r="229">
      <c r="D229" s="14"/>
      <c r="F229" s="40"/>
    </row>
    <row r="230">
      <c r="D230" s="14"/>
      <c r="F230" s="40"/>
    </row>
    <row r="231">
      <c r="D231" s="14"/>
      <c r="F231" s="40"/>
    </row>
    <row r="232">
      <c r="D232" s="14"/>
      <c r="F232" s="40"/>
    </row>
    <row r="233">
      <c r="D233" s="14"/>
      <c r="F233" s="40"/>
    </row>
    <row r="234">
      <c r="D234" s="14"/>
      <c r="F234" s="40"/>
    </row>
    <row r="235">
      <c r="D235" s="14"/>
      <c r="F235" s="40"/>
    </row>
    <row r="236">
      <c r="D236" s="14"/>
      <c r="F236" s="40"/>
    </row>
    <row r="237">
      <c r="D237" s="14"/>
      <c r="F237" s="40"/>
    </row>
    <row r="238">
      <c r="D238" s="14"/>
      <c r="F238" s="40"/>
    </row>
    <row r="239">
      <c r="D239" s="14"/>
      <c r="F239" s="40"/>
    </row>
    <row r="240">
      <c r="D240" s="14"/>
      <c r="F240" s="40"/>
    </row>
    <row r="241">
      <c r="D241" s="14"/>
      <c r="F241" s="40"/>
    </row>
    <row r="242">
      <c r="D242" s="14"/>
      <c r="F242" s="40"/>
    </row>
    <row r="243">
      <c r="D243" s="14"/>
      <c r="F243" s="40"/>
    </row>
    <row r="244">
      <c r="D244" s="14"/>
      <c r="F244" s="40"/>
    </row>
    <row r="245">
      <c r="D245" s="14"/>
      <c r="F245" s="40"/>
    </row>
    <row r="246">
      <c r="D246" s="14"/>
      <c r="F246" s="40"/>
    </row>
    <row r="247">
      <c r="D247" s="14"/>
      <c r="F247" s="40"/>
    </row>
    <row r="248">
      <c r="D248" s="14"/>
      <c r="F248" s="40"/>
    </row>
    <row r="249">
      <c r="D249" s="14"/>
      <c r="F249" s="40"/>
    </row>
    <row r="250">
      <c r="D250" s="14"/>
      <c r="F250" s="40"/>
    </row>
    <row r="251">
      <c r="D251" s="14"/>
      <c r="F251" s="40"/>
    </row>
    <row r="252">
      <c r="D252" s="14"/>
      <c r="F252" s="40"/>
    </row>
    <row r="253">
      <c r="D253" s="14"/>
      <c r="F253" s="40"/>
    </row>
    <row r="254">
      <c r="D254" s="14"/>
      <c r="F254" s="40"/>
    </row>
    <row r="255">
      <c r="D255" s="14"/>
      <c r="F255" s="40"/>
    </row>
    <row r="256">
      <c r="D256" s="14"/>
      <c r="F256" s="40"/>
    </row>
    <row r="257">
      <c r="D257" s="14"/>
      <c r="F257" s="40"/>
    </row>
    <row r="258">
      <c r="D258" s="14"/>
      <c r="F258" s="40"/>
    </row>
    <row r="259">
      <c r="D259" s="14"/>
      <c r="F259" s="40"/>
    </row>
    <row r="260">
      <c r="D260" s="14"/>
      <c r="F260" s="40"/>
    </row>
    <row r="261">
      <c r="D261" s="14"/>
      <c r="F261" s="40"/>
    </row>
    <row r="262">
      <c r="D262" s="14"/>
      <c r="F262" s="40"/>
    </row>
    <row r="263">
      <c r="D263" s="14"/>
      <c r="F263" s="40"/>
    </row>
    <row r="264">
      <c r="D264" s="14"/>
      <c r="F264" s="40"/>
    </row>
    <row r="265">
      <c r="D265" s="14"/>
      <c r="F265" s="40"/>
    </row>
    <row r="266">
      <c r="D266" s="14"/>
      <c r="F266" s="40"/>
    </row>
    <row r="267">
      <c r="D267" s="14"/>
      <c r="F267" s="40"/>
    </row>
    <row r="268">
      <c r="D268" s="14"/>
      <c r="F268" s="40"/>
    </row>
    <row r="269">
      <c r="D269" s="14"/>
      <c r="F269" s="40"/>
    </row>
    <row r="270">
      <c r="D270" s="14"/>
      <c r="F270" s="40"/>
    </row>
    <row r="271">
      <c r="D271" s="14"/>
      <c r="F271" s="40"/>
    </row>
    <row r="272">
      <c r="D272" s="14"/>
      <c r="F272" s="40"/>
    </row>
    <row r="273">
      <c r="D273" s="14"/>
      <c r="F273" s="40"/>
    </row>
    <row r="274">
      <c r="D274" s="14"/>
      <c r="F274" s="40"/>
    </row>
    <row r="275">
      <c r="D275" s="14"/>
      <c r="F275" s="40"/>
    </row>
    <row r="276">
      <c r="D276" s="14"/>
      <c r="F276" s="40"/>
    </row>
    <row r="277">
      <c r="D277" s="14"/>
      <c r="F277" s="40"/>
    </row>
    <row r="278">
      <c r="D278" s="14"/>
      <c r="F278" s="40"/>
    </row>
    <row r="279">
      <c r="D279" s="14"/>
      <c r="F279" s="40"/>
    </row>
    <row r="280">
      <c r="D280" s="14"/>
      <c r="F280" s="40"/>
    </row>
    <row r="281">
      <c r="D281" s="14"/>
      <c r="F281" s="40"/>
    </row>
    <row r="282">
      <c r="D282" s="14"/>
      <c r="F282" s="40"/>
    </row>
    <row r="283">
      <c r="D283" s="14"/>
      <c r="F283" s="40"/>
    </row>
    <row r="284">
      <c r="D284" s="14"/>
      <c r="F284" s="40"/>
    </row>
    <row r="285">
      <c r="D285" s="14"/>
      <c r="F285" s="40"/>
    </row>
    <row r="286">
      <c r="D286" s="14"/>
      <c r="F286" s="40"/>
    </row>
    <row r="287">
      <c r="D287" s="14"/>
      <c r="F287" s="40"/>
    </row>
    <row r="288">
      <c r="D288" s="14"/>
      <c r="F288" s="40"/>
    </row>
    <row r="289">
      <c r="D289" s="14"/>
      <c r="F289" s="40"/>
    </row>
    <row r="290">
      <c r="D290" s="14"/>
      <c r="F290" s="40"/>
    </row>
    <row r="291">
      <c r="D291" s="14"/>
      <c r="F291" s="40"/>
    </row>
    <row r="292">
      <c r="D292" s="14"/>
      <c r="F292" s="40"/>
    </row>
    <row r="293">
      <c r="D293" s="14"/>
      <c r="F293" s="40"/>
    </row>
    <row r="294">
      <c r="D294" s="14"/>
      <c r="F294" s="40"/>
    </row>
    <row r="295">
      <c r="D295" s="14"/>
      <c r="F295" s="40"/>
    </row>
    <row r="296">
      <c r="D296" s="14"/>
      <c r="F296" s="40"/>
    </row>
    <row r="297">
      <c r="D297" s="14"/>
      <c r="F297" s="40"/>
    </row>
    <row r="298">
      <c r="D298" s="14"/>
      <c r="F298" s="40"/>
    </row>
    <row r="299">
      <c r="D299" s="14"/>
      <c r="F299" s="40"/>
    </row>
    <row r="300">
      <c r="D300" s="14"/>
      <c r="F300" s="40"/>
    </row>
    <row r="301">
      <c r="D301" s="14"/>
      <c r="F301" s="40"/>
    </row>
    <row r="302">
      <c r="D302" s="14"/>
      <c r="F302" s="40"/>
    </row>
    <row r="303">
      <c r="D303" s="14"/>
      <c r="F303" s="40"/>
    </row>
    <row r="304">
      <c r="D304" s="14"/>
      <c r="F304" s="40"/>
    </row>
    <row r="305">
      <c r="D305" s="14"/>
      <c r="F305" s="40"/>
    </row>
    <row r="306">
      <c r="D306" s="14"/>
      <c r="F306" s="40"/>
    </row>
    <row r="307">
      <c r="D307" s="14"/>
      <c r="F307" s="40"/>
    </row>
    <row r="308">
      <c r="D308" s="14"/>
      <c r="F308" s="40"/>
    </row>
    <row r="309">
      <c r="D309" s="14"/>
      <c r="F309" s="40"/>
    </row>
    <row r="310">
      <c r="D310" s="14"/>
      <c r="F310" s="40"/>
    </row>
    <row r="311">
      <c r="D311" s="14"/>
      <c r="F311" s="40"/>
    </row>
    <row r="312">
      <c r="D312" s="14"/>
      <c r="F312" s="40"/>
    </row>
    <row r="313">
      <c r="D313" s="14"/>
      <c r="F313" s="40"/>
    </row>
    <row r="314">
      <c r="D314" s="14"/>
      <c r="F314" s="40"/>
    </row>
    <row r="315">
      <c r="D315" s="14"/>
      <c r="F315" s="40"/>
    </row>
    <row r="316">
      <c r="D316" s="14"/>
      <c r="F316" s="40"/>
    </row>
    <row r="317">
      <c r="D317" s="14"/>
      <c r="F317" s="40"/>
    </row>
    <row r="318">
      <c r="D318" s="14"/>
      <c r="F318" s="40"/>
    </row>
    <row r="319">
      <c r="D319" s="14"/>
      <c r="F319" s="40"/>
    </row>
    <row r="320">
      <c r="D320" s="14"/>
      <c r="F320" s="40"/>
    </row>
    <row r="321">
      <c r="D321" s="14"/>
      <c r="F321" s="40"/>
    </row>
    <row r="322">
      <c r="D322" s="14"/>
      <c r="F322" s="40"/>
    </row>
    <row r="323">
      <c r="D323" s="14"/>
      <c r="F323" s="40"/>
    </row>
    <row r="324">
      <c r="D324" s="14"/>
      <c r="F324" s="40"/>
    </row>
    <row r="325">
      <c r="D325" s="14"/>
      <c r="F325" s="40"/>
    </row>
    <row r="326">
      <c r="D326" s="14"/>
      <c r="F326" s="40"/>
    </row>
    <row r="327">
      <c r="D327" s="14"/>
      <c r="F327" s="40"/>
    </row>
    <row r="328">
      <c r="D328" s="14"/>
      <c r="F328" s="40"/>
    </row>
    <row r="329">
      <c r="D329" s="14"/>
      <c r="F329" s="40"/>
    </row>
    <row r="330">
      <c r="D330" s="14"/>
      <c r="F330" s="40"/>
    </row>
    <row r="331">
      <c r="D331" s="14"/>
      <c r="F331" s="40"/>
    </row>
    <row r="332">
      <c r="D332" s="14"/>
      <c r="F332" s="40"/>
    </row>
    <row r="333">
      <c r="D333" s="14"/>
      <c r="F333" s="40"/>
    </row>
    <row r="334">
      <c r="D334" s="14"/>
      <c r="F334" s="40"/>
    </row>
    <row r="335">
      <c r="D335" s="14"/>
      <c r="F335" s="40"/>
    </row>
    <row r="336">
      <c r="D336" s="14"/>
      <c r="F336" s="40"/>
    </row>
    <row r="337">
      <c r="D337" s="14"/>
      <c r="F337" s="40"/>
    </row>
    <row r="338">
      <c r="D338" s="14"/>
      <c r="F338" s="40"/>
    </row>
    <row r="339">
      <c r="D339" s="14"/>
      <c r="F339" s="40"/>
    </row>
    <row r="340">
      <c r="D340" s="14"/>
      <c r="F340" s="40"/>
    </row>
    <row r="341">
      <c r="D341" s="14"/>
      <c r="F341" s="40"/>
    </row>
    <row r="342">
      <c r="D342" s="14"/>
      <c r="F342" s="40"/>
    </row>
    <row r="343">
      <c r="D343" s="14"/>
      <c r="F343" s="40"/>
    </row>
    <row r="344">
      <c r="D344" s="14"/>
      <c r="F344" s="40"/>
    </row>
    <row r="345">
      <c r="D345" s="14"/>
      <c r="F345" s="40"/>
    </row>
    <row r="346">
      <c r="D346" s="14"/>
      <c r="F346" s="40"/>
    </row>
    <row r="347">
      <c r="D347" s="14"/>
      <c r="F347" s="40"/>
    </row>
    <row r="348">
      <c r="D348" s="14"/>
      <c r="F348" s="40"/>
    </row>
    <row r="349">
      <c r="D349" s="14"/>
      <c r="F349" s="40"/>
    </row>
    <row r="350">
      <c r="D350" s="14"/>
      <c r="F350" s="40"/>
    </row>
    <row r="351">
      <c r="D351" s="14"/>
      <c r="F351" s="40"/>
    </row>
    <row r="352">
      <c r="D352" s="14"/>
      <c r="F352" s="40"/>
    </row>
    <row r="353">
      <c r="D353" s="14"/>
      <c r="F353" s="40"/>
    </row>
    <row r="354">
      <c r="D354" s="14"/>
      <c r="F354" s="40"/>
    </row>
    <row r="355">
      <c r="D355" s="14"/>
      <c r="F355" s="40"/>
    </row>
    <row r="356">
      <c r="D356" s="14"/>
      <c r="F356" s="40"/>
    </row>
    <row r="357">
      <c r="D357" s="14"/>
      <c r="F357" s="40"/>
    </row>
    <row r="358">
      <c r="D358" s="14"/>
      <c r="F358" s="40"/>
    </row>
    <row r="359">
      <c r="D359" s="14"/>
      <c r="F359" s="40"/>
    </row>
    <row r="360">
      <c r="D360" s="14"/>
      <c r="F360" s="40"/>
    </row>
    <row r="361">
      <c r="D361" s="14"/>
      <c r="F361" s="40"/>
    </row>
    <row r="362">
      <c r="D362" s="14"/>
      <c r="F362" s="40"/>
    </row>
    <row r="363">
      <c r="D363" s="14"/>
      <c r="F363" s="40"/>
    </row>
    <row r="364">
      <c r="D364" s="14"/>
      <c r="F364" s="40"/>
    </row>
    <row r="365">
      <c r="D365" s="14"/>
      <c r="F365" s="40"/>
    </row>
    <row r="366">
      <c r="D366" s="14"/>
      <c r="F366" s="40"/>
    </row>
    <row r="367">
      <c r="D367" s="14"/>
      <c r="F367" s="40"/>
    </row>
    <row r="368">
      <c r="D368" s="14"/>
      <c r="F368" s="40"/>
    </row>
    <row r="369">
      <c r="D369" s="14"/>
      <c r="F369" s="40"/>
    </row>
    <row r="370">
      <c r="D370" s="14"/>
      <c r="F370" s="40"/>
    </row>
    <row r="371">
      <c r="D371" s="14"/>
      <c r="F371" s="40"/>
    </row>
    <row r="372">
      <c r="D372" s="14"/>
      <c r="F372" s="40"/>
    </row>
    <row r="373">
      <c r="D373" s="14"/>
      <c r="F373" s="40"/>
    </row>
    <row r="374">
      <c r="D374" s="14"/>
      <c r="F374" s="40"/>
    </row>
    <row r="375">
      <c r="D375" s="14"/>
      <c r="F375" s="40"/>
    </row>
    <row r="376">
      <c r="D376" s="14"/>
      <c r="F376" s="40"/>
    </row>
    <row r="377">
      <c r="D377" s="14"/>
      <c r="F377" s="40"/>
    </row>
    <row r="378">
      <c r="D378" s="14"/>
      <c r="F378" s="40"/>
    </row>
    <row r="379">
      <c r="D379" s="14"/>
      <c r="F379" s="40"/>
    </row>
    <row r="380">
      <c r="D380" s="14"/>
      <c r="F380" s="40"/>
    </row>
    <row r="381">
      <c r="D381" s="14"/>
      <c r="F381" s="40"/>
    </row>
    <row r="382">
      <c r="D382" s="14"/>
      <c r="F382" s="40"/>
    </row>
    <row r="383">
      <c r="D383" s="14"/>
      <c r="F383" s="40"/>
    </row>
    <row r="384">
      <c r="D384" s="14"/>
      <c r="F384" s="40"/>
    </row>
    <row r="385">
      <c r="D385" s="14"/>
      <c r="F385" s="40"/>
    </row>
    <row r="386">
      <c r="D386" s="14"/>
      <c r="F386" s="40"/>
    </row>
    <row r="387">
      <c r="D387" s="14"/>
      <c r="F387" s="40"/>
    </row>
    <row r="388">
      <c r="D388" s="14"/>
      <c r="F388" s="40"/>
    </row>
    <row r="389">
      <c r="D389" s="14"/>
      <c r="F389" s="40"/>
    </row>
    <row r="390">
      <c r="D390" s="14"/>
      <c r="F390" s="40"/>
    </row>
    <row r="391">
      <c r="D391" s="14"/>
      <c r="F391" s="40"/>
    </row>
    <row r="392">
      <c r="D392" s="14"/>
      <c r="F392" s="40"/>
    </row>
    <row r="393">
      <c r="D393" s="14"/>
      <c r="F393" s="40"/>
    </row>
    <row r="394">
      <c r="D394" s="14"/>
      <c r="F394" s="40"/>
    </row>
    <row r="395">
      <c r="D395" s="14"/>
      <c r="F395" s="40"/>
    </row>
    <row r="396">
      <c r="D396" s="14"/>
      <c r="F396" s="40"/>
    </row>
    <row r="397">
      <c r="D397" s="14"/>
      <c r="F397" s="40"/>
    </row>
    <row r="398">
      <c r="D398" s="14"/>
      <c r="F398" s="40"/>
    </row>
    <row r="399">
      <c r="D399" s="14"/>
      <c r="F399" s="40"/>
    </row>
    <row r="400">
      <c r="D400" s="14"/>
      <c r="F400" s="40"/>
    </row>
    <row r="401">
      <c r="D401" s="14"/>
      <c r="F401" s="40"/>
    </row>
    <row r="402">
      <c r="D402" s="14"/>
      <c r="F402" s="40"/>
    </row>
    <row r="403">
      <c r="D403" s="14"/>
      <c r="F403" s="40"/>
    </row>
    <row r="404">
      <c r="D404" s="14"/>
      <c r="F404" s="40"/>
    </row>
    <row r="405">
      <c r="D405" s="14"/>
      <c r="F405" s="40"/>
    </row>
    <row r="406">
      <c r="D406" s="14"/>
      <c r="F406" s="40"/>
    </row>
    <row r="407">
      <c r="D407" s="14"/>
      <c r="F407" s="40"/>
    </row>
    <row r="408">
      <c r="D408" s="14"/>
      <c r="F408" s="40"/>
    </row>
    <row r="409">
      <c r="D409" s="14"/>
      <c r="F409" s="40"/>
    </row>
    <row r="410">
      <c r="D410" s="14"/>
      <c r="F410" s="40"/>
    </row>
    <row r="411">
      <c r="D411" s="14"/>
      <c r="F411" s="40"/>
    </row>
    <row r="412">
      <c r="D412" s="14"/>
      <c r="F412" s="40"/>
    </row>
    <row r="413">
      <c r="D413" s="14"/>
      <c r="F413" s="40"/>
    </row>
    <row r="414">
      <c r="D414" s="14"/>
      <c r="F414" s="40"/>
    </row>
    <row r="415">
      <c r="D415" s="14"/>
      <c r="F415" s="40"/>
    </row>
    <row r="416">
      <c r="D416" s="14"/>
      <c r="F416" s="40"/>
    </row>
    <row r="417">
      <c r="D417" s="14"/>
      <c r="F417" s="40"/>
    </row>
    <row r="418">
      <c r="D418" s="14"/>
      <c r="F418" s="40"/>
    </row>
    <row r="419">
      <c r="D419" s="14"/>
      <c r="F419" s="40"/>
    </row>
    <row r="420">
      <c r="D420" s="14"/>
      <c r="F420" s="40"/>
    </row>
    <row r="421">
      <c r="D421" s="14"/>
      <c r="F421" s="40"/>
    </row>
    <row r="422">
      <c r="D422" s="14"/>
      <c r="F422" s="40"/>
    </row>
    <row r="423">
      <c r="D423" s="14"/>
      <c r="F423" s="40"/>
    </row>
    <row r="424">
      <c r="D424" s="14"/>
      <c r="F424" s="40"/>
    </row>
    <row r="425">
      <c r="D425" s="14"/>
      <c r="F425" s="40"/>
    </row>
    <row r="426">
      <c r="D426" s="14"/>
      <c r="F426" s="40"/>
    </row>
    <row r="427">
      <c r="D427" s="14"/>
      <c r="F427" s="40"/>
    </row>
    <row r="428">
      <c r="D428" s="14"/>
      <c r="F428" s="40"/>
    </row>
    <row r="429">
      <c r="D429" s="14"/>
      <c r="F429" s="40"/>
    </row>
    <row r="430">
      <c r="D430" s="14"/>
      <c r="F430" s="40"/>
    </row>
    <row r="431">
      <c r="D431" s="14"/>
      <c r="F431" s="40"/>
    </row>
    <row r="432">
      <c r="D432" s="14"/>
      <c r="F432" s="40"/>
    </row>
    <row r="433">
      <c r="D433" s="14"/>
      <c r="F433" s="40"/>
    </row>
    <row r="434">
      <c r="D434" s="14"/>
      <c r="F434" s="40"/>
    </row>
    <row r="435">
      <c r="D435" s="14"/>
      <c r="F435" s="40"/>
    </row>
    <row r="436">
      <c r="D436" s="14"/>
      <c r="F436" s="40"/>
    </row>
    <row r="437">
      <c r="D437" s="14"/>
      <c r="F437" s="40"/>
    </row>
    <row r="438">
      <c r="D438" s="14"/>
      <c r="F438" s="40"/>
    </row>
    <row r="439">
      <c r="D439" s="14"/>
      <c r="F439" s="40"/>
    </row>
    <row r="440">
      <c r="D440" s="14"/>
      <c r="F440" s="40"/>
    </row>
    <row r="441">
      <c r="D441" s="14"/>
      <c r="F441" s="40"/>
    </row>
    <row r="442">
      <c r="D442" s="14"/>
      <c r="F442" s="40"/>
    </row>
    <row r="443">
      <c r="D443" s="14"/>
      <c r="F443" s="40"/>
    </row>
    <row r="444">
      <c r="D444" s="14"/>
      <c r="F444" s="40"/>
    </row>
    <row r="445">
      <c r="D445" s="14"/>
      <c r="F445" s="40"/>
    </row>
    <row r="446">
      <c r="D446" s="14"/>
      <c r="F446" s="40"/>
    </row>
    <row r="447">
      <c r="D447" s="14"/>
      <c r="F447" s="40"/>
    </row>
    <row r="448">
      <c r="D448" s="14"/>
      <c r="F448" s="40"/>
    </row>
    <row r="449">
      <c r="D449" s="14"/>
      <c r="F449" s="40"/>
    </row>
    <row r="450">
      <c r="D450" s="14"/>
      <c r="F450" s="40"/>
    </row>
    <row r="451">
      <c r="D451" s="14"/>
      <c r="F451" s="40"/>
    </row>
    <row r="452">
      <c r="D452" s="14"/>
      <c r="F452" s="40"/>
    </row>
    <row r="453">
      <c r="D453" s="14"/>
      <c r="F453" s="40"/>
    </row>
    <row r="454">
      <c r="D454" s="14"/>
      <c r="F454" s="40"/>
    </row>
    <row r="455">
      <c r="D455" s="14"/>
      <c r="F455" s="40"/>
    </row>
    <row r="456">
      <c r="D456" s="14"/>
      <c r="F456" s="40"/>
    </row>
    <row r="457">
      <c r="D457" s="14"/>
      <c r="F457" s="40"/>
    </row>
    <row r="458">
      <c r="D458" s="14"/>
      <c r="F458" s="40"/>
    </row>
    <row r="459">
      <c r="D459" s="14"/>
      <c r="F459" s="40"/>
    </row>
    <row r="460">
      <c r="D460" s="14"/>
      <c r="F460" s="40"/>
    </row>
    <row r="461">
      <c r="D461" s="14"/>
      <c r="F461" s="40"/>
    </row>
    <row r="462">
      <c r="D462" s="14"/>
      <c r="F462" s="40"/>
    </row>
    <row r="463">
      <c r="D463" s="14"/>
      <c r="F463" s="40"/>
    </row>
    <row r="464">
      <c r="D464" s="14"/>
      <c r="F464" s="40"/>
    </row>
    <row r="465">
      <c r="D465" s="14"/>
      <c r="F465" s="40"/>
    </row>
    <row r="466">
      <c r="D466" s="14"/>
      <c r="F466" s="40"/>
    </row>
    <row r="467">
      <c r="D467" s="14"/>
      <c r="F467" s="40"/>
    </row>
    <row r="468">
      <c r="D468" s="14"/>
      <c r="F468" s="40"/>
    </row>
    <row r="469">
      <c r="D469" s="14"/>
      <c r="F469" s="40"/>
    </row>
    <row r="470">
      <c r="D470" s="14"/>
      <c r="F470" s="40"/>
    </row>
    <row r="471">
      <c r="D471" s="14"/>
      <c r="F471" s="40"/>
    </row>
    <row r="472">
      <c r="D472" s="14"/>
      <c r="F472" s="40"/>
    </row>
    <row r="473">
      <c r="D473" s="14"/>
      <c r="F473" s="40"/>
    </row>
    <row r="474">
      <c r="D474" s="14"/>
      <c r="F474" s="40"/>
    </row>
    <row r="475">
      <c r="D475" s="14"/>
      <c r="F475" s="40"/>
    </row>
    <row r="476">
      <c r="D476" s="14"/>
      <c r="F476" s="40"/>
    </row>
    <row r="477">
      <c r="D477" s="14"/>
      <c r="F477" s="40"/>
    </row>
    <row r="478">
      <c r="D478" s="14"/>
      <c r="F478" s="40"/>
    </row>
    <row r="479">
      <c r="D479" s="14"/>
      <c r="F479" s="40"/>
    </row>
    <row r="480">
      <c r="D480" s="14"/>
      <c r="F480" s="40"/>
    </row>
    <row r="481">
      <c r="D481" s="14"/>
      <c r="F481" s="40"/>
    </row>
    <row r="482">
      <c r="D482" s="14"/>
      <c r="F482" s="40"/>
    </row>
    <row r="483">
      <c r="D483" s="14"/>
      <c r="F483" s="40"/>
    </row>
    <row r="484">
      <c r="D484" s="14"/>
      <c r="F484" s="40"/>
    </row>
    <row r="485">
      <c r="D485" s="14"/>
      <c r="F485" s="40"/>
    </row>
    <row r="486">
      <c r="D486" s="14"/>
      <c r="F486" s="40"/>
    </row>
    <row r="487">
      <c r="D487" s="14"/>
      <c r="F487" s="40"/>
    </row>
    <row r="488">
      <c r="D488" s="14"/>
      <c r="F488" s="40"/>
    </row>
    <row r="489">
      <c r="D489" s="14"/>
      <c r="F489" s="40"/>
    </row>
    <row r="490">
      <c r="D490" s="14"/>
      <c r="F490" s="40"/>
    </row>
    <row r="491">
      <c r="D491" s="14"/>
      <c r="F491" s="40"/>
    </row>
    <row r="492">
      <c r="D492" s="14"/>
      <c r="F492" s="40"/>
    </row>
    <row r="493">
      <c r="D493" s="14"/>
      <c r="F493" s="40"/>
    </row>
    <row r="494">
      <c r="D494" s="14"/>
      <c r="F494" s="40"/>
    </row>
    <row r="495">
      <c r="D495" s="14"/>
      <c r="F495" s="40"/>
    </row>
    <row r="496">
      <c r="D496" s="14"/>
      <c r="F496" s="40"/>
    </row>
    <row r="497">
      <c r="D497" s="14"/>
      <c r="F497" s="40"/>
    </row>
    <row r="498">
      <c r="D498" s="14"/>
      <c r="F498" s="40"/>
    </row>
    <row r="499">
      <c r="D499" s="14"/>
      <c r="F499" s="40"/>
    </row>
    <row r="500">
      <c r="D500" s="14"/>
      <c r="F500" s="40"/>
    </row>
    <row r="501">
      <c r="D501" s="14"/>
      <c r="F501" s="40"/>
    </row>
    <row r="502">
      <c r="D502" s="14"/>
      <c r="F502" s="40"/>
    </row>
    <row r="503">
      <c r="D503" s="14"/>
      <c r="F503" s="40"/>
    </row>
    <row r="504">
      <c r="D504" s="14"/>
      <c r="F504" s="40"/>
    </row>
    <row r="505">
      <c r="D505" s="14"/>
      <c r="F505" s="40"/>
    </row>
    <row r="506">
      <c r="D506" s="14"/>
      <c r="F506" s="40"/>
    </row>
    <row r="507">
      <c r="D507" s="14"/>
      <c r="F507" s="40"/>
    </row>
    <row r="508">
      <c r="D508" s="14"/>
      <c r="F508" s="40"/>
    </row>
    <row r="509">
      <c r="D509" s="14"/>
      <c r="F509" s="40"/>
    </row>
    <row r="510">
      <c r="D510" s="14"/>
      <c r="F510" s="40"/>
    </row>
    <row r="511">
      <c r="D511" s="14"/>
      <c r="F511" s="40"/>
    </row>
    <row r="512">
      <c r="D512" s="14"/>
      <c r="F512" s="40"/>
    </row>
    <row r="513">
      <c r="D513" s="14"/>
      <c r="F513" s="40"/>
    </row>
    <row r="514">
      <c r="D514" s="14"/>
      <c r="F514" s="40"/>
    </row>
    <row r="515">
      <c r="D515" s="14"/>
      <c r="F515" s="40"/>
    </row>
    <row r="516">
      <c r="D516" s="14"/>
      <c r="F516" s="40"/>
    </row>
    <row r="517">
      <c r="D517" s="14"/>
      <c r="F517" s="40"/>
    </row>
    <row r="518">
      <c r="D518" s="14"/>
      <c r="F518" s="40"/>
    </row>
    <row r="519">
      <c r="D519" s="14"/>
      <c r="F519" s="40"/>
    </row>
    <row r="520">
      <c r="D520" s="14"/>
      <c r="F520" s="40"/>
    </row>
    <row r="521">
      <c r="D521" s="14"/>
      <c r="F521" s="40"/>
    </row>
    <row r="522">
      <c r="D522" s="14"/>
      <c r="F522" s="40"/>
    </row>
    <row r="523">
      <c r="D523" s="14"/>
      <c r="F523" s="40"/>
    </row>
    <row r="524">
      <c r="D524" s="14"/>
      <c r="F524" s="40"/>
    </row>
    <row r="525">
      <c r="D525" s="14"/>
      <c r="F525" s="40"/>
    </row>
    <row r="526">
      <c r="D526" s="14"/>
      <c r="F526" s="40"/>
    </row>
    <row r="527">
      <c r="D527" s="14"/>
      <c r="F527" s="40"/>
    </row>
    <row r="528">
      <c r="D528" s="14"/>
      <c r="F528" s="40"/>
    </row>
    <row r="529">
      <c r="D529" s="14"/>
      <c r="F529" s="40"/>
    </row>
    <row r="530">
      <c r="D530" s="14"/>
      <c r="F530" s="40"/>
    </row>
    <row r="531">
      <c r="D531" s="14"/>
      <c r="F531" s="40"/>
    </row>
    <row r="532">
      <c r="D532" s="14"/>
      <c r="F532" s="40"/>
    </row>
    <row r="533">
      <c r="D533" s="14"/>
      <c r="F533" s="40"/>
    </row>
    <row r="534">
      <c r="D534" s="14"/>
      <c r="F534" s="40"/>
    </row>
    <row r="535">
      <c r="D535" s="14"/>
      <c r="F535" s="40"/>
    </row>
    <row r="536">
      <c r="D536" s="14"/>
      <c r="F536" s="40"/>
    </row>
    <row r="537">
      <c r="D537" s="14"/>
      <c r="F537" s="40"/>
    </row>
    <row r="538">
      <c r="D538" s="14"/>
      <c r="F538" s="40"/>
    </row>
    <row r="539">
      <c r="D539" s="14"/>
      <c r="F539" s="40"/>
    </row>
    <row r="540">
      <c r="D540" s="14"/>
      <c r="F540" s="40"/>
    </row>
    <row r="541">
      <c r="D541" s="14"/>
      <c r="F541" s="40"/>
    </row>
    <row r="542">
      <c r="D542" s="14"/>
      <c r="F542" s="40"/>
    </row>
    <row r="543">
      <c r="D543" s="14"/>
      <c r="F543" s="40"/>
    </row>
    <row r="544">
      <c r="D544" s="14"/>
      <c r="F544" s="40"/>
    </row>
    <row r="545">
      <c r="D545" s="14"/>
      <c r="F545" s="40"/>
    </row>
    <row r="546">
      <c r="D546" s="14"/>
      <c r="F546" s="40"/>
    </row>
    <row r="547">
      <c r="D547" s="14"/>
      <c r="F547" s="40"/>
    </row>
    <row r="548">
      <c r="D548" s="14"/>
      <c r="F548" s="40"/>
    </row>
    <row r="549">
      <c r="D549" s="14"/>
      <c r="F549" s="40"/>
    </row>
    <row r="550">
      <c r="D550" s="14"/>
      <c r="F550" s="40"/>
    </row>
    <row r="551">
      <c r="D551" s="14"/>
      <c r="F551" s="40"/>
    </row>
    <row r="552">
      <c r="D552" s="14"/>
      <c r="F552" s="40"/>
    </row>
    <row r="553">
      <c r="D553" s="14"/>
      <c r="F553" s="40"/>
    </row>
    <row r="554">
      <c r="D554" s="14"/>
      <c r="F554" s="40"/>
    </row>
    <row r="555">
      <c r="D555" s="14"/>
      <c r="F555" s="40"/>
    </row>
    <row r="556">
      <c r="D556" s="14"/>
      <c r="F556" s="40"/>
    </row>
    <row r="557">
      <c r="D557" s="14"/>
      <c r="F557" s="40"/>
    </row>
    <row r="558">
      <c r="D558" s="14"/>
      <c r="F558" s="40"/>
    </row>
    <row r="559">
      <c r="D559" s="14"/>
      <c r="F559" s="40"/>
    </row>
    <row r="560">
      <c r="D560" s="14"/>
      <c r="F560" s="40"/>
    </row>
    <row r="561">
      <c r="D561" s="14"/>
      <c r="F561" s="40"/>
    </row>
    <row r="562">
      <c r="D562" s="14"/>
      <c r="F562" s="40"/>
    </row>
    <row r="563">
      <c r="D563" s="14"/>
      <c r="F563" s="40"/>
    </row>
    <row r="564">
      <c r="D564" s="14"/>
      <c r="F564" s="40"/>
    </row>
    <row r="565">
      <c r="D565" s="14"/>
      <c r="F565" s="40"/>
    </row>
    <row r="566">
      <c r="D566" s="14"/>
      <c r="F566" s="40"/>
    </row>
    <row r="567">
      <c r="D567" s="14"/>
      <c r="F567" s="40"/>
    </row>
    <row r="568">
      <c r="D568" s="14"/>
      <c r="F568" s="40"/>
    </row>
    <row r="569">
      <c r="D569" s="14"/>
      <c r="F569" s="40"/>
    </row>
    <row r="570">
      <c r="D570" s="14"/>
      <c r="F570" s="40"/>
    </row>
    <row r="571">
      <c r="D571" s="14"/>
      <c r="F571" s="40"/>
    </row>
    <row r="572">
      <c r="D572" s="14"/>
      <c r="F572" s="40"/>
    </row>
    <row r="573">
      <c r="D573" s="14"/>
      <c r="F573" s="40"/>
    </row>
    <row r="574">
      <c r="D574" s="14"/>
      <c r="F574" s="40"/>
    </row>
    <row r="575">
      <c r="D575" s="14"/>
      <c r="F575" s="40"/>
    </row>
    <row r="576">
      <c r="D576" s="14"/>
      <c r="F576" s="40"/>
    </row>
    <row r="577">
      <c r="D577" s="14"/>
      <c r="F577" s="40"/>
    </row>
    <row r="578">
      <c r="D578" s="14"/>
      <c r="F578" s="40"/>
    </row>
    <row r="579">
      <c r="D579" s="14"/>
      <c r="F579" s="40"/>
    </row>
    <row r="580">
      <c r="D580" s="14"/>
      <c r="F580" s="40"/>
    </row>
    <row r="581">
      <c r="D581" s="14"/>
      <c r="F581" s="40"/>
    </row>
    <row r="582">
      <c r="D582" s="14"/>
      <c r="F582" s="40"/>
    </row>
    <row r="583">
      <c r="D583" s="14"/>
      <c r="F583" s="40"/>
    </row>
    <row r="584">
      <c r="D584" s="14"/>
      <c r="F584" s="40"/>
    </row>
    <row r="585">
      <c r="D585" s="14"/>
      <c r="F585" s="40"/>
    </row>
    <row r="586">
      <c r="D586" s="14"/>
      <c r="F586" s="40"/>
    </row>
    <row r="587">
      <c r="D587" s="14"/>
      <c r="F587" s="40"/>
    </row>
    <row r="588">
      <c r="D588" s="14"/>
      <c r="F588" s="40"/>
    </row>
    <row r="589">
      <c r="D589" s="14"/>
      <c r="F589" s="40"/>
    </row>
    <row r="590">
      <c r="D590" s="14"/>
      <c r="F590" s="40"/>
    </row>
    <row r="591">
      <c r="D591" s="14"/>
      <c r="F591" s="40"/>
    </row>
    <row r="592">
      <c r="D592" s="14"/>
      <c r="F592" s="40"/>
    </row>
    <row r="593">
      <c r="D593" s="14"/>
      <c r="F593" s="40"/>
    </row>
    <row r="594">
      <c r="D594" s="14"/>
      <c r="F594" s="40"/>
    </row>
    <row r="595">
      <c r="D595" s="14"/>
      <c r="F595" s="40"/>
    </row>
    <row r="596">
      <c r="D596" s="14"/>
      <c r="F596" s="40"/>
    </row>
    <row r="597">
      <c r="D597" s="14"/>
      <c r="F597" s="40"/>
    </row>
    <row r="598">
      <c r="D598" s="14"/>
      <c r="F598" s="40"/>
    </row>
    <row r="599">
      <c r="D599" s="14"/>
      <c r="F599" s="40"/>
    </row>
    <row r="600">
      <c r="D600" s="14"/>
      <c r="F600" s="40"/>
    </row>
    <row r="601">
      <c r="D601" s="14"/>
      <c r="F601" s="40"/>
    </row>
    <row r="602">
      <c r="D602" s="14"/>
      <c r="F602" s="40"/>
    </row>
    <row r="603">
      <c r="D603" s="14"/>
      <c r="F603" s="40"/>
    </row>
    <row r="604">
      <c r="D604" s="14"/>
      <c r="F604" s="40"/>
    </row>
    <row r="605">
      <c r="D605" s="14"/>
      <c r="F605" s="40"/>
    </row>
    <row r="606">
      <c r="D606" s="14"/>
      <c r="F606" s="40"/>
    </row>
    <row r="607">
      <c r="D607" s="14"/>
      <c r="F607" s="40"/>
    </row>
    <row r="608">
      <c r="D608" s="14"/>
      <c r="F608" s="40"/>
    </row>
    <row r="609">
      <c r="D609" s="14"/>
      <c r="F609" s="40"/>
    </row>
    <row r="610">
      <c r="D610" s="14"/>
      <c r="F610" s="40"/>
    </row>
    <row r="611">
      <c r="D611" s="14"/>
      <c r="F611" s="40"/>
    </row>
    <row r="612">
      <c r="D612" s="14"/>
      <c r="F612" s="40"/>
    </row>
    <row r="613">
      <c r="D613" s="14"/>
      <c r="F613" s="40"/>
    </row>
    <row r="614">
      <c r="D614" s="14"/>
      <c r="F614" s="40"/>
    </row>
    <row r="615">
      <c r="D615" s="14"/>
      <c r="F615" s="40"/>
    </row>
    <row r="616">
      <c r="D616" s="14"/>
      <c r="F616" s="40"/>
    </row>
    <row r="617">
      <c r="D617" s="14"/>
      <c r="F617" s="40"/>
    </row>
    <row r="618">
      <c r="D618" s="14"/>
      <c r="F618" s="40"/>
    </row>
    <row r="619">
      <c r="D619" s="14"/>
      <c r="F619" s="40"/>
    </row>
    <row r="620">
      <c r="D620" s="14"/>
      <c r="F620" s="40"/>
    </row>
    <row r="621">
      <c r="D621" s="14"/>
      <c r="F621" s="40"/>
    </row>
    <row r="622">
      <c r="D622" s="14"/>
      <c r="F622" s="40"/>
    </row>
    <row r="623">
      <c r="D623" s="14"/>
      <c r="F623" s="40"/>
    </row>
    <row r="624">
      <c r="D624" s="14"/>
      <c r="F624" s="40"/>
    </row>
    <row r="625">
      <c r="D625" s="14"/>
      <c r="F625" s="40"/>
    </row>
    <row r="626">
      <c r="D626" s="14"/>
      <c r="F626" s="40"/>
    </row>
    <row r="627">
      <c r="D627" s="14"/>
      <c r="F627" s="40"/>
    </row>
    <row r="628">
      <c r="D628" s="14"/>
      <c r="F628" s="40"/>
    </row>
    <row r="629">
      <c r="D629" s="14"/>
      <c r="F629" s="40"/>
    </row>
    <row r="630">
      <c r="D630" s="14"/>
      <c r="F630" s="40"/>
    </row>
    <row r="631">
      <c r="D631" s="14"/>
      <c r="F631" s="40"/>
    </row>
    <row r="632">
      <c r="D632" s="14"/>
      <c r="F632" s="40"/>
    </row>
    <row r="633">
      <c r="D633" s="14"/>
      <c r="F633" s="40"/>
    </row>
    <row r="634">
      <c r="D634" s="14"/>
      <c r="F634" s="40"/>
    </row>
    <row r="635">
      <c r="D635" s="14"/>
      <c r="F635" s="40"/>
    </row>
    <row r="636">
      <c r="D636" s="14"/>
      <c r="F636" s="40"/>
    </row>
    <row r="637">
      <c r="D637" s="14"/>
      <c r="F637" s="40"/>
    </row>
    <row r="638">
      <c r="D638" s="14"/>
      <c r="F638" s="40"/>
    </row>
    <row r="639">
      <c r="D639" s="14"/>
      <c r="F639" s="40"/>
    </row>
    <row r="640">
      <c r="D640" s="14"/>
      <c r="F640" s="40"/>
    </row>
    <row r="641">
      <c r="D641" s="14"/>
      <c r="F641" s="40"/>
    </row>
    <row r="642">
      <c r="D642" s="14"/>
      <c r="F642" s="40"/>
    </row>
    <row r="643">
      <c r="D643" s="14"/>
      <c r="F643" s="40"/>
    </row>
    <row r="644">
      <c r="D644" s="14"/>
      <c r="F644" s="40"/>
    </row>
    <row r="645">
      <c r="D645" s="14"/>
      <c r="F645" s="40"/>
    </row>
    <row r="646">
      <c r="D646" s="14"/>
      <c r="F646" s="40"/>
    </row>
    <row r="647">
      <c r="D647" s="14"/>
      <c r="F647" s="40"/>
    </row>
    <row r="648">
      <c r="D648" s="14"/>
      <c r="F648" s="40"/>
    </row>
    <row r="649">
      <c r="D649" s="14"/>
      <c r="F649" s="40"/>
    </row>
    <row r="650">
      <c r="D650" s="14"/>
      <c r="F650" s="40"/>
    </row>
    <row r="651">
      <c r="D651" s="14"/>
      <c r="F651" s="40"/>
    </row>
    <row r="652">
      <c r="D652" s="14"/>
      <c r="F652" s="40"/>
    </row>
    <row r="653">
      <c r="D653" s="14"/>
      <c r="F653" s="40"/>
    </row>
    <row r="654">
      <c r="D654" s="14"/>
      <c r="F654" s="40"/>
    </row>
    <row r="655">
      <c r="D655" s="14"/>
      <c r="F655" s="40"/>
    </row>
    <row r="656">
      <c r="D656" s="14"/>
      <c r="F656" s="40"/>
    </row>
    <row r="657">
      <c r="D657" s="14"/>
      <c r="F657" s="40"/>
    </row>
    <row r="658">
      <c r="D658" s="14"/>
      <c r="F658" s="40"/>
    </row>
    <row r="659">
      <c r="D659" s="14"/>
      <c r="F659" s="40"/>
    </row>
    <row r="660">
      <c r="D660" s="14"/>
      <c r="F660" s="40"/>
    </row>
    <row r="661">
      <c r="D661" s="14"/>
      <c r="F661" s="40"/>
    </row>
    <row r="662">
      <c r="D662" s="14"/>
      <c r="F662" s="40"/>
    </row>
    <row r="663">
      <c r="D663" s="14"/>
      <c r="F663" s="40"/>
    </row>
    <row r="664">
      <c r="D664" s="14"/>
      <c r="F664" s="40"/>
    </row>
    <row r="665">
      <c r="D665" s="14"/>
      <c r="F665" s="40"/>
    </row>
    <row r="666">
      <c r="D666" s="14"/>
      <c r="F666" s="40"/>
    </row>
    <row r="667">
      <c r="D667" s="14"/>
      <c r="F667" s="40"/>
    </row>
    <row r="668">
      <c r="D668" s="14"/>
      <c r="F668" s="40"/>
    </row>
    <row r="669">
      <c r="D669" s="14"/>
      <c r="F669" s="40"/>
    </row>
    <row r="670">
      <c r="D670" s="14"/>
      <c r="F670" s="40"/>
    </row>
    <row r="671">
      <c r="D671" s="14"/>
      <c r="F671" s="40"/>
    </row>
    <row r="672">
      <c r="D672" s="14"/>
      <c r="F672" s="40"/>
    </row>
    <row r="673">
      <c r="D673" s="14"/>
      <c r="F673" s="40"/>
    </row>
    <row r="674">
      <c r="D674" s="14"/>
      <c r="F674" s="40"/>
    </row>
    <row r="675">
      <c r="D675" s="14"/>
      <c r="F675" s="40"/>
    </row>
    <row r="676">
      <c r="D676" s="14"/>
      <c r="F676" s="40"/>
    </row>
    <row r="677">
      <c r="D677" s="14"/>
      <c r="F677" s="40"/>
    </row>
    <row r="678">
      <c r="D678" s="14"/>
      <c r="F678" s="40"/>
    </row>
    <row r="679">
      <c r="D679" s="14"/>
      <c r="F679" s="40"/>
    </row>
    <row r="680">
      <c r="D680" s="14"/>
      <c r="F680" s="40"/>
    </row>
    <row r="681">
      <c r="D681" s="14"/>
      <c r="F681" s="40"/>
    </row>
    <row r="682">
      <c r="D682" s="14"/>
      <c r="F682" s="40"/>
    </row>
    <row r="683">
      <c r="D683" s="14"/>
      <c r="F683" s="40"/>
    </row>
    <row r="684">
      <c r="D684" s="14"/>
      <c r="F684" s="40"/>
    </row>
    <row r="685">
      <c r="D685" s="14"/>
      <c r="F685" s="40"/>
    </row>
    <row r="686">
      <c r="D686" s="14"/>
      <c r="F686" s="40"/>
    </row>
    <row r="687">
      <c r="D687" s="14"/>
      <c r="F687" s="40"/>
    </row>
    <row r="688">
      <c r="D688" s="14"/>
      <c r="F688" s="40"/>
    </row>
    <row r="689">
      <c r="D689" s="14"/>
      <c r="F689" s="40"/>
    </row>
    <row r="690">
      <c r="D690" s="14"/>
      <c r="F690" s="40"/>
    </row>
    <row r="691">
      <c r="D691" s="14"/>
      <c r="F691" s="40"/>
    </row>
    <row r="692">
      <c r="D692" s="14"/>
      <c r="F692" s="40"/>
    </row>
    <row r="693">
      <c r="D693" s="14"/>
      <c r="F693" s="40"/>
    </row>
    <row r="694">
      <c r="D694" s="14"/>
      <c r="F694" s="40"/>
    </row>
    <row r="695">
      <c r="D695" s="14"/>
      <c r="F695" s="40"/>
    </row>
    <row r="696">
      <c r="D696" s="14"/>
      <c r="F696" s="40"/>
    </row>
    <row r="697">
      <c r="D697" s="14"/>
      <c r="F697" s="40"/>
    </row>
    <row r="698">
      <c r="D698" s="14"/>
      <c r="F698" s="40"/>
    </row>
    <row r="699">
      <c r="D699" s="14"/>
      <c r="F699" s="40"/>
    </row>
    <row r="700">
      <c r="D700" s="14"/>
      <c r="F700" s="40"/>
    </row>
    <row r="701">
      <c r="D701" s="14"/>
      <c r="F701" s="40"/>
    </row>
    <row r="702">
      <c r="D702" s="14"/>
      <c r="F702" s="40"/>
    </row>
    <row r="703">
      <c r="D703" s="14"/>
      <c r="F703" s="40"/>
    </row>
    <row r="704">
      <c r="D704" s="14"/>
      <c r="F704" s="40"/>
    </row>
    <row r="705">
      <c r="D705" s="14"/>
      <c r="F705" s="40"/>
    </row>
    <row r="706">
      <c r="D706" s="14"/>
      <c r="F706" s="40"/>
    </row>
    <row r="707">
      <c r="D707" s="14"/>
      <c r="F707" s="40"/>
    </row>
    <row r="708">
      <c r="D708" s="14"/>
      <c r="F708" s="40"/>
    </row>
    <row r="709">
      <c r="D709" s="14"/>
      <c r="F709" s="40"/>
    </row>
    <row r="710">
      <c r="D710" s="14"/>
      <c r="F710" s="40"/>
    </row>
    <row r="711">
      <c r="D711" s="14"/>
      <c r="F711" s="40"/>
    </row>
    <row r="712">
      <c r="D712" s="14"/>
      <c r="F712" s="40"/>
    </row>
    <row r="713">
      <c r="D713" s="14"/>
      <c r="F713" s="40"/>
    </row>
    <row r="714">
      <c r="D714" s="14"/>
      <c r="F714" s="40"/>
    </row>
    <row r="715">
      <c r="D715" s="14"/>
      <c r="F715" s="40"/>
    </row>
    <row r="716">
      <c r="D716" s="14"/>
      <c r="F716" s="40"/>
    </row>
    <row r="717">
      <c r="D717" s="14"/>
      <c r="F717" s="40"/>
    </row>
    <row r="718">
      <c r="D718" s="14"/>
      <c r="F718" s="40"/>
    </row>
    <row r="719">
      <c r="D719" s="14"/>
      <c r="F719" s="40"/>
    </row>
    <row r="720">
      <c r="D720" s="14"/>
      <c r="F720" s="40"/>
    </row>
    <row r="721">
      <c r="D721" s="14"/>
      <c r="F721" s="40"/>
    </row>
    <row r="722">
      <c r="D722" s="14"/>
      <c r="F722" s="40"/>
    </row>
    <row r="723">
      <c r="D723" s="14"/>
      <c r="F723" s="40"/>
    </row>
    <row r="724">
      <c r="D724" s="14"/>
      <c r="F724" s="40"/>
    </row>
    <row r="725">
      <c r="D725" s="14"/>
      <c r="F725" s="40"/>
    </row>
    <row r="726">
      <c r="D726" s="14"/>
      <c r="F726" s="40"/>
    </row>
    <row r="727">
      <c r="D727" s="14"/>
      <c r="F727" s="40"/>
    </row>
    <row r="728">
      <c r="D728" s="14"/>
      <c r="F728" s="40"/>
    </row>
    <row r="729">
      <c r="D729" s="14"/>
      <c r="F729" s="40"/>
    </row>
    <row r="730">
      <c r="D730" s="14"/>
      <c r="F730" s="40"/>
    </row>
    <row r="731">
      <c r="D731" s="14"/>
      <c r="F731" s="40"/>
    </row>
    <row r="732">
      <c r="D732" s="14"/>
      <c r="F732" s="40"/>
    </row>
    <row r="733">
      <c r="D733" s="14"/>
      <c r="F733" s="40"/>
    </row>
    <row r="734">
      <c r="D734" s="14"/>
      <c r="F734" s="40"/>
    </row>
    <row r="735">
      <c r="D735" s="14"/>
      <c r="F735" s="40"/>
    </row>
    <row r="736">
      <c r="D736" s="14"/>
      <c r="F736" s="40"/>
    </row>
    <row r="737">
      <c r="D737" s="14"/>
      <c r="F737" s="40"/>
    </row>
    <row r="738">
      <c r="D738" s="14"/>
      <c r="F738" s="40"/>
    </row>
    <row r="739">
      <c r="D739" s="14"/>
      <c r="F739" s="40"/>
    </row>
    <row r="740">
      <c r="D740" s="14"/>
      <c r="F740" s="40"/>
    </row>
    <row r="741">
      <c r="D741" s="14"/>
      <c r="F741" s="40"/>
    </row>
    <row r="742">
      <c r="D742" s="14"/>
      <c r="F742" s="40"/>
    </row>
    <row r="743">
      <c r="D743" s="14"/>
      <c r="F743" s="40"/>
    </row>
    <row r="744">
      <c r="D744" s="14"/>
      <c r="F744" s="40"/>
    </row>
    <row r="745">
      <c r="D745" s="14"/>
      <c r="F745" s="40"/>
    </row>
    <row r="746">
      <c r="D746" s="14"/>
      <c r="F746" s="40"/>
    </row>
    <row r="747">
      <c r="D747" s="14"/>
      <c r="F747" s="40"/>
    </row>
    <row r="748">
      <c r="D748" s="14"/>
      <c r="F748" s="40"/>
    </row>
    <row r="749">
      <c r="D749" s="14"/>
      <c r="F749" s="40"/>
    </row>
    <row r="750">
      <c r="D750" s="14"/>
      <c r="F750" s="40"/>
    </row>
    <row r="751">
      <c r="D751" s="14"/>
      <c r="F751" s="40"/>
    </row>
    <row r="752">
      <c r="D752" s="14"/>
      <c r="F752" s="40"/>
    </row>
    <row r="753">
      <c r="D753" s="14"/>
      <c r="F753" s="40"/>
    </row>
    <row r="754">
      <c r="D754" s="14"/>
      <c r="F754" s="40"/>
    </row>
    <row r="755">
      <c r="D755" s="14"/>
      <c r="F755" s="40"/>
    </row>
    <row r="756">
      <c r="D756" s="14"/>
      <c r="F756" s="40"/>
    </row>
    <row r="757">
      <c r="D757" s="14"/>
      <c r="F757" s="40"/>
    </row>
    <row r="758">
      <c r="D758" s="14"/>
      <c r="F758" s="40"/>
    </row>
    <row r="759">
      <c r="D759" s="14"/>
      <c r="F759" s="40"/>
    </row>
    <row r="760">
      <c r="D760" s="14"/>
      <c r="F760" s="40"/>
    </row>
    <row r="761">
      <c r="D761" s="14"/>
      <c r="F761" s="40"/>
    </row>
    <row r="762">
      <c r="D762" s="14"/>
      <c r="F762" s="40"/>
    </row>
    <row r="763">
      <c r="D763" s="14"/>
      <c r="F763" s="40"/>
    </row>
    <row r="764">
      <c r="D764" s="14"/>
      <c r="F764" s="40"/>
    </row>
    <row r="765">
      <c r="D765" s="14"/>
      <c r="F765" s="40"/>
    </row>
    <row r="766">
      <c r="D766" s="14"/>
      <c r="F766" s="40"/>
    </row>
    <row r="767">
      <c r="D767" s="14"/>
      <c r="F767" s="40"/>
    </row>
    <row r="768">
      <c r="D768" s="14"/>
      <c r="F768" s="40"/>
    </row>
    <row r="769">
      <c r="D769" s="14"/>
      <c r="F769" s="40"/>
    </row>
    <row r="770">
      <c r="D770" s="14"/>
      <c r="F770" s="40"/>
    </row>
    <row r="771">
      <c r="D771" s="14"/>
      <c r="F771" s="40"/>
    </row>
    <row r="772">
      <c r="D772" s="14"/>
      <c r="F772" s="40"/>
    </row>
    <row r="773">
      <c r="D773" s="14"/>
      <c r="F773" s="40"/>
    </row>
    <row r="774">
      <c r="D774" s="14"/>
      <c r="F774" s="40"/>
    </row>
    <row r="775">
      <c r="D775" s="14"/>
      <c r="F775" s="40"/>
    </row>
    <row r="776">
      <c r="D776" s="14"/>
      <c r="F776" s="40"/>
    </row>
    <row r="777">
      <c r="D777" s="14"/>
      <c r="F777" s="40"/>
    </row>
    <row r="778">
      <c r="D778" s="14"/>
      <c r="F778" s="40"/>
    </row>
    <row r="779">
      <c r="D779" s="14"/>
      <c r="F779" s="40"/>
    </row>
    <row r="780">
      <c r="D780" s="14"/>
      <c r="F780" s="40"/>
    </row>
    <row r="781">
      <c r="D781" s="14"/>
      <c r="F781" s="40"/>
    </row>
    <row r="782">
      <c r="D782" s="14"/>
      <c r="F782" s="40"/>
    </row>
    <row r="783">
      <c r="D783" s="14"/>
      <c r="F783" s="40"/>
    </row>
    <row r="784">
      <c r="D784" s="14"/>
      <c r="F784" s="40"/>
    </row>
    <row r="785">
      <c r="D785" s="14"/>
      <c r="F785" s="40"/>
    </row>
    <row r="786">
      <c r="D786" s="14"/>
      <c r="F786" s="40"/>
    </row>
    <row r="787">
      <c r="D787" s="14"/>
      <c r="F787" s="40"/>
    </row>
    <row r="788">
      <c r="D788" s="14"/>
      <c r="F788" s="40"/>
    </row>
    <row r="789">
      <c r="D789" s="14"/>
      <c r="F789" s="40"/>
    </row>
    <row r="790">
      <c r="D790" s="14"/>
      <c r="F790" s="40"/>
    </row>
    <row r="791">
      <c r="D791" s="14"/>
      <c r="F791" s="40"/>
    </row>
    <row r="792">
      <c r="D792" s="14"/>
      <c r="F792" s="40"/>
    </row>
    <row r="793">
      <c r="D793" s="14"/>
      <c r="F793" s="40"/>
    </row>
    <row r="794">
      <c r="D794" s="14"/>
      <c r="F794" s="40"/>
    </row>
    <row r="795">
      <c r="D795" s="14"/>
      <c r="F795" s="40"/>
    </row>
    <row r="796">
      <c r="D796" s="14"/>
      <c r="F796" s="40"/>
    </row>
    <row r="797">
      <c r="D797" s="14"/>
      <c r="F797" s="40"/>
    </row>
    <row r="798">
      <c r="D798" s="14"/>
      <c r="F798" s="40"/>
    </row>
    <row r="799">
      <c r="D799" s="14"/>
      <c r="F799" s="40"/>
    </row>
    <row r="800">
      <c r="D800" s="14"/>
      <c r="F800" s="40"/>
    </row>
    <row r="801">
      <c r="D801" s="14"/>
      <c r="F801" s="40"/>
    </row>
    <row r="802">
      <c r="D802" s="14"/>
      <c r="F802" s="40"/>
    </row>
    <row r="803">
      <c r="D803" s="14"/>
      <c r="F803" s="40"/>
    </row>
    <row r="804">
      <c r="D804" s="14"/>
      <c r="F804" s="40"/>
    </row>
    <row r="805">
      <c r="D805" s="14"/>
      <c r="F805" s="40"/>
    </row>
    <row r="806">
      <c r="D806" s="14"/>
      <c r="F806" s="40"/>
    </row>
    <row r="807">
      <c r="D807" s="14"/>
      <c r="F807" s="40"/>
    </row>
    <row r="808">
      <c r="D808" s="14"/>
      <c r="F808" s="40"/>
    </row>
    <row r="809">
      <c r="D809" s="14"/>
      <c r="F809" s="40"/>
    </row>
    <row r="810">
      <c r="D810" s="14"/>
      <c r="F810" s="40"/>
    </row>
    <row r="811">
      <c r="D811" s="14"/>
      <c r="F811" s="40"/>
    </row>
    <row r="812">
      <c r="D812" s="14"/>
      <c r="F812" s="40"/>
    </row>
    <row r="813">
      <c r="D813" s="14"/>
      <c r="F813" s="40"/>
    </row>
    <row r="814">
      <c r="D814" s="14"/>
      <c r="F814" s="40"/>
    </row>
    <row r="815">
      <c r="D815" s="14"/>
      <c r="F815" s="40"/>
    </row>
    <row r="816">
      <c r="D816" s="14"/>
      <c r="F816" s="40"/>
    </row>
    <row r="817">
      <c r="D817" s="14"/>
      <c r="F817" s="40"/>
    </row>
    <row r="818">
      <c r="D818" s="14"/>
      <c r="F818" s="40"/>
    </row>
    <row r="819">
      <c r="D819" s="14"/>
      <c r="F819" s="40"/>
    </row>
    <row r="820">
      <c r="D820" s="14"/>
      <c r="F820" s="40"/>
    </row>
    <row r="821">
      <c r="D821" s="14"/>
      <c r="F821" s="40"/>
    </row>
    <row r="822">
      <c r="D822" s="14"/>
      <c r="F822" s="40"/>
    </row>
    <row r="823">
      <c r="D823" s="14"/>
      <c r="F823" s="40"/>
    </row>
    <row r="824">
      <c r="D824" s="14"/>
      <c r="F824" s="40"/>
    </row>
    <row r="825">
      <c r="D825" s="14"/>
      <c r="F825" s="40"/>
    </row>
    <row r="826">
      <c r="D826" s="14"/>
      <c r="F826" s="40"/>
    </row>
    <row r="827">
      <c r="D827" s="14"/>
      <c r="F827" s="40"/>
    </row>
    <row r="828">
      <c r="D828" s="14"/>
      <c r="F828" s="40"/>
    </row>
    <row r="829">
      <c r="D829" s="14"/>
      <c r="F829" s="40"/>
    </row>
    <row r="830">
      <c r="D830" s="14"/>
      <c r="F830" s="40"/>
    </row>
    <row r="831">
      <c r="D831" s="14"/>
      <c r="F831" s="40"/>
    </row>
    <row r="832">
      <c r="D832" s="14"/>
      <c r="F832" s="40"/>
    </row>
    <row r="833">
      <c r="D833" s="14"/>
      <c r="F833" s="40"/>
    </row>
    <row r="834">
      <c r="D834" s="14"/>
      <c r="F834" s="40"/>
    </row>
    <row r="835">
      <c r="D835" s="14"/>
      <c r="F835" s="40"/>
    </row>
    <row r="836">
      <c r="D836" s="14"/>
      <c r="F836" s="40"/>
    </row>
    <row r="837">
      <c r="D837" s="14"/>
      <c r="F837" s="40"/>
    </row>
    <row r="838">
      <c r="D838" s="14"/>
      <c r="F838" s="40"/>
    </row>
    <row r="839">
      <c r="D839" s="14"/>
      <c r="F839" s="40"/>
    </row>
    <row r="840">
      <c r="D840" s="14"/>
      <c r="F840" s="40"/>
    </row>
    <row r="841">
      <c r="D841" s="14"/>
      <c r="F841" s="40"/>
    </row>
    <row r="842">
      <c r="D842" s="14"/>
      <c r="F842" s="40"/>
    </row>
    <row r="843">
      <c r="D843" s="14"/>
      <c r="F843" s="40"/>
    </row>
    <row r="844">
      <c r="D844" s="14"/>
      <c r="F844" s="40"/>
    </row>
    <row r="845">
      <c r="D845" s="14"/>
      <c r="F845" s="40"/>
    </row>
    <row r="846">
      <c r="D846" s="14"/>
      <c r="F846" s="40"/>
    </row>
    <row r="847">
      <c r="D847" s="14"/>
      <c r="F847" s="40"/>
    </row>
    <row r="848">
      <c r="D848" s="14"/>
      <c r="F848" s="40"/>
    </row>
    <row r="849">
      <c r="D849" s="14"/>
      <c r="F849" s="40"/>
    </row>
    <row r="850">
      <c r="D850" s="14"/>
      <c r="F850" s="40"/>
    </row>
    <row r="851">
      <c r="D851" s="14"/>
      <c r="F851" s="40"/>
    </row>
    <row r="852">
      <c r="D852" s="14"/>
      <c r="F852" s="40"/>
    </row>
    <row r="853">
      <c r="D853" s="14"/>
      <c r="F853" s="40"/>
    </row>
    <row r="854">
      <c r="D854" s="14"/>
      <c r="F854" s="40"/>
    </row>
    <row r="855">
      <c r="D855" s="14"/>
      <c r="F855" s="40"/>
    </row>
    <row r="856">
      <c r="D856" s="14"/>
      <c r="F856" s="40"/>
    </row>
    <row r="857">
      <c r="D857" s="14"/>
      <c r="F857" s="40"/>
    </row>
    <row r="858">
      <c r="D858" s="14"/>
      <c r="F858" s="40"/>
    </row>
    <row r="859">
      <c r="D859" s="14"/>
      <c r="F859" s="40"/>
    </row>
    <row r="860">
      <c r="D860" s="14"/>
      <c r="F860" s="40"/>
    </row>
    <row r="861">
      <c r="D861" s="14"/>
      <c r="F861" s="40"/>
    </row>
    <row r="862">
      <c r="D862" s="14"/>
      <c r="F862" s="40"/>
    </row>
    <row r="863">
      <c r="D863" s="14"/>
      <c r="F863" s="40"/>
    </row>
    <row r="864">
      <c r="D864" s="14"/>
      <c r="F864" s="40"/>
    </row>
    <row r="865">
      <c r="D865" s="14"/>
      <c r="F865" s="40"/>
    </row>
    <row r="866">
      <c r="D866" s="14"/>
      <c r="F866" s="40"/>
    </row>
    <row r="867">
      <c r="D867" s="14"/>
      <c r="F867" s="40"/>
    </row>
    <row r="868">
      <c r="D868" s="14"/>
      <c r="F868" s="40"/>
    </row>
    <row r="869">
      <c r="D869" s="14"/>
      <c r="F869" s="40"/>
    </row>
    <row r="870">
      <c r="D870" s="14"/>
      <c r="F870" s="40"/>
    </row>
    <row r="871">
      <c r="D871" s="14"/>
      <c r="F871" s="40"/>
    </row>
    <row r="872">
      <c r="D872" s="14"/>
      <c r="F872" s="40"/>
    </row>
    <row r="873">
      <c r="D873" s="14"/>
      <c r="F873" s="40"/>
    </row>
    <row r="874">
      <c r="D874" s="14"/>
      <c r="F874" s="40"/>
    </row>
    <row r="875">
      <c r="D875" s="14"/>
      <c r="F875" s="40"/>
    </row>
    <row r="876">
      <c r="D876" s="14"/>
      <c r="F876" s="40"/>
    </row>
    <row r="877">
      <c r="D877" s="14"/>
      <c r="F877" s="40"/>
    </row>
    <row r="878">
      <c r="D878" s="14"/>
      <c r="F878" s="40"/>
    </row>
    <row r="879">
      <c r="D879" s="14"/>
      <c r="F879" s="40"/>
    </row>
    <row r="880">
      <c r="D880" s="14"/>
      <c r="F880" s="40"/>
    </row>
    <row r="881">
      <c r="D881" s="14"/>
      <c r="F881" s="40"/>
    </row>
    <row r="882">
      <c r="D882" s="14"/>
      <c r="F882" s="40"/>
    </row>
    <row r="883">
      <c r="D883" s="14"/>
      <c r="F883" s="40"/>
    </row>
    <row r="884">
      <c r="D884" s="14"/>
      <c r="F884" s="40"/>
    </row>
    <row r="885">
      <c r="D885" s="14"/>
      <c r="F885" s="40"/>
    </row>
    <row r="886">
      <c r="D886" s="14"/>
      <c r="F886" s="40"/>
    </row>
    <row r="887">
      <c r="D887" s="14"/>
      <c r="F887" s="40"/>
    </row>
    <row r="888">
      <c r="D888" s="14"/>
      <c r="F888" s="40"/>
    </row>
    <row r="889">
      <c r="D889" s="14"/>
      <c r="F889" s="40"/>
    </row>
    <row r="890">
      <c r="D890" s="14"/>
      <c r="F890" s="40"/>
    </row>
    <row r="891">
      <c r="D891" s="14"/>
      <c r="F891" s="40"/>
    </row>
    <row r="892">
      <c r="D892" s="14"/>
      <c r="F892" s="40"/>
    </row>
    <row r="893">
      <c r="D893" s="14"/>
      <c r="F893" s="40"/>
    </row>
    <row r="894">
      <c r="D894" s="14"/>
      <c r="F894" s="40"/>
    </row>
    <row r="895">
      <c r="D895" s="14"/>
      <c r="F895" s="40"/>
    </row>
    <row r="896">
      <c r="D896" s="14"/>
      <c r="F896" s="40"/>
    </row>
    <row r="897">
      <c r="D897" s="14"/>
      <c r="F897" s="40"/>
    </row>
    <row r="898">
      <c r="D898" s="14"/>
      <c r="F898" s="40"/>
    </row>
    <row r="899">
      <c r="D899" s="14"/>
      <c r="F899" s="40"/>
    </row>
    <row r="900">
      <c r="D900" s="14"/>
      <c r="F900" s="40"/>
    </row>
    <row r="901">
      <c r="D901" s="14"/>
      <c r="F901" s="40"/>
    </row>
    <row r="902">
      <c r="D902" s="14"/>
      <c r="F902" s="40"/>
    </row>
    <row r="903">
      <c r="D903" s="14"/>
      <c r="F903" s="40"/>
    </row>
    <row r="904">
      <c r="D904" s="14"/>
      <c r="F904" s="40"/>
    </row>
    <row r="905">
      <c r="D905" s="14"/>
      <c r="F905" s="40"/>
    </row>
    <row r="906">
      <c r="D906" s="14"/>
      <c r="F906" s="40"/>
    </row>
    <row r="907">
      <c r="D907" s="14"/>
      <c r="F907" s="40"/>
    </row>
    <row r="908">
      <c r="D908" s="14"/>
      <c r="F908" s="40"/>
    </row>
    <row r="909">
      <c r="D909" s="14"/>
      <c r="F909" s="40"/>
    </row>
    <row r="910">
      <c r="D910" s="14"/>
      <c r="F910" s="40"/>
    </row>
    <row r="911">
      <c r="D911" s="14"/>
      <c r="F911" s="40"/>
    </row>
    <row r="912">
      <c r="D912" s="14"/>
      <c r="F912" s="40"/>
    </row>
    <row r="913">
      <c r="D913" s="14"/>
      <c r="F913" s="40"/>
    </row>
    <row r="914">
      <c r="D914" s="14"/>
      <c r="F914" s="40"/>
    </row>
    <row r="915">
      <c r="D915" s="14"/>
      <c r="F915" s="40"/>
    </row>
    <row r="916">
      <c r="D916" s="14"/>
      <c r="F916" s="40"/>
    </row>
    <row r="917">
      <c r="D917" s="14"/>
      <c r="F917" s="40"/>
    </row>
    <row r="918">
      <c r="D918" s="14"/>
      <c r="F918" s="40"/>
    </row>
    <row r="919">
      <c r="D919" s="14"/>
      <c r="F919" s="40"/>
    </row>
    <row r="920">
      <c r="D920" s="14"/>
      <c r="F920" s="40"/>
    </row>
    <row r="921">
      <c r="D921" s="14"/>
      <c r="F921" s="40"/>
    </row>
    <row r="922">
      <c r="D922" s="14"/>
      <c r="F922" s="40"/>
    </row>
    <row r="923">
      <c r="D923" s="14"/>
      <c r="F923" s="40"/>
    </row>
    <row r="924">
      <c r="D924" s="14"/>
      <c r="F924" s="40"/>
    </row>
    <row r="925">
      <c r="D925" s="14"/>
      <c r="F925" s="40"/>
    </row>
    <row r="926">
      <c r="D926" s="14"/>
      <c r="F926" s="40"/>
    </row>
    <row r="927">
      <c r="D927" s="14"/>
      <c r="F927" s="40"/>
    </row>
    <row r="928">
      <c r="D928" s="14"/>
      <c r="F928" s="40"/>
    </row>
    <row r="929">
      <c r="D929" s="14"/>
      <c r="F929" s="40"/>
    </row>
    <row r="930">
      <c r="D930" s="14"/>
      <c r="F930" s="40"/>
    </row>
    <row r="931">
      <c r="D931" s="14"/>
      <c r="F931" s="40"/>
    </row>
    <row r="932">
      <c r="D932" s="14"/>
      <c r="F932" s="40"/>
    </row>
    <row r="933">
      <c r="D933" s="14"/>
      <c r="F933" s="40"/>
    </row>
    <row r="934">
      <c r="D934" s="14"/>
      <c r="F934" s="40"/>
    </row>
    <row r="935">
      <c r="D935" s="14"/>
      <c r="F935" s="40"/>
    </row>
    <row r="936">
      <c r="D936" s="14"/>
      <c r="F936" s="40"/>
    </row>
    <row r="937">
      <c r="D937" s="14"/>
      <c r="F937" s="40"/>
    </row>
    <row r="938">
      <c r="D938" s="14"/>
      <c r="F938" s="40"/>
    </row>
    <row r="939">
      <c r="D939" s="14"/>
      <c r="F939" s="40"/>
    </row>
    <row r="940">
      <c r="D940" s="14"/>
      <c r="F940" s="40"/>
    </row>
    <row r="941">
      <c r="D941" s="14"/>
      <c r="F941" s="40"/>
    </row>
    <row r="942">
      <c r="D942" s="14"/>
      <c r="F942" s="40"/>
    </row>
    <row r="943">
      <c r="D943" s="14"/>
      <c r="F943" s="40"/>
    </row>
    <row r="944">
      <c r="D944" s="14"/>
      <c r="F944" s="40"/>
    </row>
    <row r="945">
      <c r="D945" s="14"/>
      <c r="F945" s="40"/>
    </row>
    <row r="946">
      <c r="D946" s="14"/>
      <c r="F946" s="40"/>
    </row>
    <row r="947">
      <c r="D947" s="14"/>
      <c r="F947" s="40"/>
    </row>
    <row r="948">
      <c r="D948" s="14"/>
      <c r="F948" s="40"/>
    </row>
    <row r="949">
      <c r="D949" s="14"/>
      <c r="F949" s="40"/>
    </row>
    <row r="950">
      <c r="D950" s="14"/>
      <c r="F950" s="40"/>
    </row>
    <row r="951">
      <c r="D951" s="14"/>
      <c r="F951" s="40"/>
    </row>
    <row r="952">
      <c r="D952" s="14"/>
      <c r="F952" s="40"/>
    </row>
    <row r="953">
      <c r="D953" s="14"/>
      <c r="F953" s="40"/>
    </row>
    <row r="954">
      <c r="D954" s="14"/>
      <c r="F954" s="40"/>
    </row>
    <row r="955">
      <c r="D955" s="14"/>
      <c r="F955" s="40"/>
    </row>
    <row r="956">
      <c r="D956" s="14"/>
      <c r="F956" s="40"/>
    </row>
    <row r="957">
      <c r="D957" s="14"/>
      <c r="F957" s="40"/>
    </row>
    <row r="958">
      <c r="D958" s="14"/>
      <c r="F958" s="40"/>
    </row>
    <row r="959">
      <c r="D959" s="14"/>
      <c r="F959" s="40"/>
    </row>
    <row r="960">
      <c r="D960" s="14"/>
      <c r="F960" s="40"/>
    </row>
    <row r="961">
      <c r="D961" s="14"/>
      <c r="F961" s="40"/>
    </row>
    <row r="962">
      <c r="D962" s="14"/>
      <c r="F962" s="40"/>
    </row>
    <row r="963">
      <c r="D963" s="14"/>
      <c r="F963" s="40"/>
    </row>
    <row r="964">
      <c r="D964" s="14"/>
      <c r="F964" s="40"/>
    </row>
    <row r="965">
      <c r="D965" s="14"/>
      <c r="F965" s="40"/>
    </row>
    <row r="966">
      <c r="D966" s="14"/>
      <c r="F966" s="40"/>
    </row>
    <row r="967">
      <c r="D967" s="14"/>
      <c r="F967" s="40"/>
    </row>
    <row r="968">
      <c r="D968" s="14"/>
      <c r="F968" s="40"/>
    </row>
    <row r="969">
      <c r="D969" s="14"/>
      <c r="F969" s="40"/>
    </row>
    <row r="970">
      <c r="D970" s="14"/>
      <c r="F970" s="40"/>
    </row>
    <row r="971">
      <c r="D971" s="14"/>
      <c r="F971" s="40"/>
    </row>
    <row r="972">
      <c r="D972" s="14"/>
      <c r="F972" s="40"/>
    </row>
    <row r="973">
      <c r="D973" s="14"/>
      <c r="F973" s="40"/>
    </row>
    <row r="974">
      <c r="D974" s="14"/>
      <c r="F974" s="40"/>
    </row>
    <row r="975">
      <c r="D975" s="14"/>
      <c r="F975" s="40"/>
    </row>
    <row r="976">
      <c r="D976" s="14"/>
      <c r="F976" s="40"/>
    </row>
    <row r="977">
      <c r="D977" s="14"/>
      <c r="F977" s="40"/>
    </row>
    <row r="978">
      <c r="D978" s="14"/>
      <c r="F978" s="40"/>
    </row>
    <row r="979">
      <c r="D979" s="14"/>
      <c r="F979" s="40"/>
    </row>
    <row r="980">
      <c r="D980" s="14"/>
      <c r="F980" s="40"/>
    </row>
    <row r="981">
      <c r="D981" s="14"/>
      <c r="F981" s="40"/>
    </row>
    <row r="982">
      <c r="D982" s="14"/>
      <c r="F982" s="40"/>
    </row>
    <row r="983">
      <c r="D983" s="14"/>
      <c r="F983" s="40"/>
    </row>
    <row r="984">
      <c r="D984" s="14"/>
      <c r="F984" s="40"/>
    </row>
    <row r="985">
      <c r="D985" s="14"/>
      <c r="F985" s="40"/>
    </row>
    <row r="986">
      <c r="D986" s="14"/>
      <c r="F986" s="40"/>
    </row>
    <row r="987">
      <c r="D987" s="14"/>
      <c r="F987" s="40"/>
    </row>
    <row r="988">
      <c r="D988" s="14"/>
      <c r="F988" s="40"/>
    </row>
    <row r="989">
      <c r="D989" s="14"/>
      <c r="F989" s="40"/>
    </row>
    <row r="990">
      <c r="D990" s="14"/>
      <c r="F990" s="40"/>
    </row>
    <row r="991">
      <c r="D991" s="14"/>
      <c r="F991" s="40"/>
    </row>
    <row r="992">
      <c r="D992" s="14"/>
      <c r="F992" s="40"/>
    </row>
    <row r="993">
      <c r="D993" s="14"/>
      <c r="F993" s="40"/>
    </row>
    <row r="994">
      <c r="D994" s="14"/>
      <c r="F994" s="40"/>
    </row>
    <row r="995">
      <c r="D995" s="14"/>
      <c r="F995" s="40"/>
    </row>
    <row r="996">
      <c r="D996" s="14"/>
      <c r="F996" s="40"/>
    </row>
    <row r="997">
      <c r="D997" s="14"/>
      <c r="F997" s="40"/>
    </row>
    <row r="998">
      <c r="D998" s="14"/>
      <c r="F998" s="40"/>
    </row>
    <row r="999">
      <c r="D999" s="14"/>
      <c r="F999" s="40"/>
    </row>
    <row r="1000">
      <c r="D1000" s="14"/>
      <c r="F1000" s="40"/>
    </row>
    <row r="1001">
      <c r="D1001" s="14"/>
      <c r="F1001" s="40"/>
    </row>
    <row r="1002">
      <c r="D1002" s="14"/>
      <c r="F1002" s="40"/>
    </row>
    <row r="1003">
      <c r="D1003" s="14"/>
      <c r="F1003" s="40"/>
    </row>
    <row r="1004">
      <c r="D1004" s="14"/>
      <c r="F1004" s="40"/>
    </row>
  </sheetData>
  <mergeCells count="1">
    <mergeCell ref="C32:H33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91" t="s">
        <v>6</v>
      </c>
      <c r="J1" s="15" t="s">
        <v>207</v>
      </c>
    </row>
    <row r="2">
      <c r="A2" s="1" t="s">
        <v>25</v>
      </c>
      <c r="B2" s="1" t="s">
        <v>377</v>
      </c>
      <c r="C2" s="1" t="s">
        <v>378</v>
      </c>
      <c r="D2" s="11">
        <v>50000.0</v>
      </c>
      <c r="F2" s="40"/>
      <c r="J2" s="93">
        <v>0.3</v>
      </c>
    </row>
    <row r="3">
      <c r="A3" s="1" t="s">
        <v>23</v>
      </c>
      <c r="D3" s="11"/>
      <c r="E3" s="1" t="s">
        <v>317</v>
      </c>
      <c r="F3" s="38">
        <v>2708.0</v>
      </c>
      <c r="J3" s="94"/>
    </row>
    <row r="4">
      <c r="A4" s="1" t="s">
        <v>25</v>
      </c>
      <c r="B4" s="1" t="s">
        <v>353</v>
      </c>
      <c r="C4" s="1" t="s">
        <v>378</v>
      </c>
      <c r="D4" s="11">
        <v>50000.0</v>
      </c>
    </row>
    <row r="5">
      <c r="A5" s="1" t="s">
        <v>25</v>
      </c>
      <c r="B5" s="1" t="s">
        <v>379</v>
      </c>
      <c r="C5" s="1" t="s">
        <v>378</v>
      </c>
      <c r="D5" s="11">
        <v>200000.0</v>
      </c>
    </row>
    <row r="6">
      <c r="A6" s="1" t="s">
        <v>25</v>
      </c>
      <c r="B6" s="1" t="s">
        <v>379</v>
      </c>
      <c r="C6" s="1" t="s">
        <v>378</v>
      </c>
      <c r="D6" s="11">
        <v>25000.0</v>
      </c>
    </row>
    <row r="7">
      <c r="A7" s="1" t="s">
        <v>25</v>
      </c>
      <c r="B7" s="1" t="s">
        <v>379</v>
      </c>
      <c r="C7" s="1" t="s">
        <v>378</v>
      </c>
      <c r="D7" s="11">
        <v>95000.0</v>
      </c>
    </row>
    <row r="8">
      <c r="A8" s="1" t="s">
        <v>25</v>
      </c>
      <c r="B8" s="1" t="s">
        <v>380</v>
      </c>
      <c r="C8" s="1" t="s">
        <v>378</v>
      </c>
      <c r="D8" s="11">
        <v>80000.0</v>
      </c>
    </row>
    <row r="9">
      <c r="D9" s="14"/>
    </row>
    <row r="10">
      <c r="D10" s="14"/>
    </row>
    <row r="11">
      <c r="D11" s="14"/>
    </row>
    <row r="12">
      <c r="D12" s="14"/>
    </row>
    <row r="13">
      <c r="D13" s="14"/>
    </row>
    <row r="14">
      <c r="D14" s="14"/>
    </row>
    <row r="15">
      <c r="D15" s="14"/>
    </row>
    <row r="16">
      <c r="D16" s="14"/>
    </row>
    <row r="17">
      <c r="D17" s="14"/>
    </row>
    <row r="18">
      <c r="D18" s="14"/>
    </row>
    <row r="19">
      <c r="D19" s="14"/>
    </row>
    <row r="20">
      <c r="D20" s="14"/>
    </row>
    <row r="21"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9" max="9" width="37.0"/>
  </cols>
  <sheetData>
    <row r="1">
      <c r="A1" s="97" t="s">
        <v>0</v>
      </c>
      <c r="B1" s="97" t="s">
        <v>2</v>
      </c>
      <c r="C1" s="98" t="s">
        <v>3</v>
      </c>
      <c r="D1" s="99" t="s">
        <v>4</v>
      </c>
      <c r="E1" s="97" t="s">
        <v>5</v>
      </c>
      <c r="F1" s="100" t="s">
        <v>6</v>
      </c>
      <c r="G1" s="101"/>
      <c r="H1" s="101"/>
      <c r="I1" s="101"/>
      <c r="J1" s="16" t="s">
        <v>207</v>
      </c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59" t="s">
        <v>25</v>
      </c>
      <c r="B2" s="59" t="s">
        <v>381</v>
      </c>
      <c r="C2" s="59" t="s">
        <v>382</v>
      </c>
      <c r="D2" s="102">
        <v>100000.0</v>
      </c>
      <c r="E2" s="101"/>
      <c r="F2" s="103"/>
      <c r="G2" s="101"/>
      <c r="H2" s="101"/>
      <c r="I2" s="101"/>
      <c r="J2" s="104">
        <v>0.3</v>
      </c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6" t="s">
        <v>23</v>
      </c>
      <c r="B3" s="105"/>
      <c r="C3" s="105"/>
      <c r="D3" s="106"/>
      <c r="E3" s="16" t="s">
        <v>383</v>
      </c>
      <c r="F3" s="16">
        <v>30000.0</v>
      </c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6" t="s">
        <v>23</v>
      </c>
      <c r="B4" s="105"/>
      <c r="C4" s="105"/>
      <c r="D4" s="106"/>
      <c r="E4" s="16" t="s">
        <v>384</v>
      </c>
      <c r="F4" s="16">
        <v>30000.0</v>
      </c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59" t="s">
        <v>25</v>
      </c>
      <c r="B5" s="59" t="s">
        <v>385</v>
      </c>
      <c r="C5" s="101"/>
      <c r="D5" s="102">
        <v>100000.0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6" t="s">
        <v>23</v>
      </c>
      <c r="B6" s="105"/>
      <c r="C6" s="105"/>
      <c r="D6" s="106"/>
      <c r="E6" s="16" t="s">
        <v>217</v>
      </c>
      <c r="F6" s="16">
        <v>30000.0</v>
      </c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6" t="s">
        <v>23</v>
      </c>
      <c r="B7" s="105"/>
      <c r="C7" s="105"/>
      <c r="D7" s="106"/>
      <c r="E7" s="16" t="s">
        <v>210</v>
      </c>
      <c r="F7" s="16">
        <v>24000.0</v>
      </c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59" t="s">
        <v>23</v>
      </c>
      <c r="B8" s="101"/>
      <c r="C8" s="101"/>
      <c r="D8" s="107"/>
      <c r="E8" s="59" t="s">
        <v>210</v>
      </c>
      <c r="F8" s="59">
        <v>30000.0</v>
      </c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59" t="s">
        <v>346</v>
      </c>
      <c r="B9" s="101"/>
      <c r="C9" s="101"/>
      <c r="D9" s="107"/>
      <c r="E9" s="59" t="s">
        <v>388</v>
      </c>
      <c r="F9" s="59">
        <v>1200.0</v>
      </c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6" t="s">
        <v>23</v>
      </c>
      <c r="B10" s="101"/>
      <c r="C10" s="101"/>
      <c r="D10" s="107"/>
      <c r="E10" s="59" t="s">
        <v>229</v>
      </c>
      <c r="F10" s="59">
        <v>30000.0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6" t="s">
        <v>23</v>
      </c>
      <c r="B11" s="101"/>
      <c r="C11" s="101"/>
      <c r="D11" s="107"/>
      <c r="E11" s="59" t="s">
        <v>339</v>
      </c>
      <c r="F11" s="59">
        <v>30000.0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59" t="s">
        <v>288</v>
      </c>
      <c r="B12" s="101"/>
      <c r="C12" s="101"/>
      <c r="D12" s="107"/>
      <c r="E12" s="59" t="s">
        <v>390</v>
      </c>
      <c r="F12" s="59">
        <v>3000.0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6" t="s">
        <v>23</v>
      </c>
      <c r="B13" s="101"/>
      <c r="C13" s="101"/>
      <c r="D13" s="107"/>
      <c r="E13" s="59" t="s">
        <v>391</v>
      </c>
      <c r="F13" s="59">
        <v>60000.0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59" t="s">
        <v>346</v>
      </c>
      <c r="B14" s="101"/>
      <c r="C14" s="101"/>
      <c r="D14" s="107"/>
      <c r="E14" s="59" t="s">
        <v>291</v>
      </c>
      <c r="F14" s="59">
        <v>3000.0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6" t="s">
        <v>23</v>
      </c>
      <c r="B15" s="101"/>
      <c r="C15" s="101"/>
      <c r="D15" s="107"/>
      <c r="E15" s="59" t="s">
        <v>342</v>
      </c>
      <c r="F15" s="59">
        <v>60000.0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B16" s="101"/>
      <c r="C16" s="101"/>
      <c r="D16" s="101"/>
      <c r="E16" s="59" t="s">
        <v>393</v>
      </c>
      <c r="F16" s="59">
        <v>30000.0</v>
      </c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B17" s="101"/>
      <c r="C17" s="101"/>
      <c r="D17" s="107"/>
      <c r="E17" s="108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01"/>
      <c r="C18" s="101"/>
      <c r="D18" s="107"/>
      <c r="E18" s="108">
        <v>45405.0</v>
      </c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B19" s="101"/>
      <c r="C19" s="101"/>
      <c r="D19" s="107"/>
      <c r="E19" s="109">
        <v>45435.0</v>
      </c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1"/>
      <c r="B20" s="101"/>
      <c r="C20" s="101"/>
      <c r="D20" s="107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101"/>
      <c r="B21" s="101"/>
      <c r="C21" s="101"/>
      <c r="D21" s="107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01"/>
      <c r="B22" s="101"/>
      <c r="C22" s="101"/>
      <c r="D22" s="107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01"/>
      <c r="B23" s="101"/>
      <c r="C23" s="101"/>
      <c r="D23" s="107"/>
      <c r="E23" s="101"/>
      <c r="F23" s="101"/>
      <c r="G23" s="101"/>
      <c r="H23" s="101"/>
      <c r="I23" s="101"/>
      <c r="J23" s="59" t="s">
        <v>177</v>
      </c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01"/>
      <c r="B24" s="101"/>
      <c r="C24" s="101"/>
      <c r="D24" s="107">
        <f>SUM(D2:D20)</f>
        <v>200000</v>
      </c>
      <c r="E24" s="101"/>
      <c r="F24" s="107">
        <f>SUM(F2:F20)</f>
        <v>361200</v>
      </c>
      <c r="G24" s="101"/>
      <c r="H24" s="110">
        <f>F24/D24</f>
        <v>1.806</v>
      </c>
      <c r="I24" s="101"/>
      <c r="J24" s="59">
        <f>D24*3/100</f>
        <v>6000</v>
      </c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01"/>
      <c r="B25" s="101"/>
      <c r="C25" s="101"/>
      <c r="D25" s="107"/>
      <c r="E25" s="101"/>
      <c r="F25" s="101"/>
      <c r="G25" s="101"/>
      <c r="H25" s="101"/>
      <c r="I25" s="101"/>
      <c r="J25" s="59">
        <f t="shared" ref="J25:J26" si="1">J24</f>
        <v>6000</v>
      </c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01"/>
      <c r="B26" s="101"/>
      <c r="C26" s="101"/>
      <c r="D26" s="107"/>
      <c r="E26" s="101"/>
      <c r="F26" s="101"/>
      <c r="G26" s="101"/>
      <c r="H26" s="101"/>
      <c r="I26" s="101"/>
      <c r="J26" s="59">
        <f t="shared" si="1"/>
        <v>6000</v>
      </c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01"/>
      <c r="B27" s="101"/>
      <c r="C27" s="101"/>
      <c r="D27" s="107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101"/>
      <c r="B28" s="101"/>
      <c r="C28" s="101"/>
      <c r="D28" s="107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101"/>
      <c r="B29" s="101"/>
      <c r="C29" s="101"/>
      <c r="D29" s="111" t="s">
        <v>41</v>
      </c>
      <c r="E29" s="23"/>
      <c r="F29" s="23"/>
      <c r="G29" s="23"/>
      <c r="H29" s="23"/>
      <c r="I29" s="23"/>
      <c r="J29" s="23"/>
      <c r="K29" s="24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01"/>
      <c r="B30" s="101"/>
      <c r="C30" s="101"/>
      <c r="D30" s="27"/>
      <c r="E30" s="28"/>
      <c r="F30" s="28"/>
      <c r="G30" s="28"/>
      <c r="H30" s="28"/>
      <c r="I30" s="28"/>
      <c r="J30" s="28"/>
      <c r="K30" s="29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01"/>
      <c r="B31" s="101"/>
      <c r="C31" s="101"/>
      <c r="D31" s="113"/>
      <c r="E31" s="113" t="s">
        <v>49</v>
      </c>
      <c r="F31" s="113" t="s">
        <v>51</v>
      </c>
      <c r="G31" s="113" t="s">
        <v>52</v>
      </c>
      <c r="H31" s="113"/>
      <c r="I31" s="113" t="s">
        <v>352</v>
      </c>
      <c r="J31" s="113" t="s">
        <v>56</v>
      </c>
      <c r="K31" s="113" t="s">
        <v>57</v>
      </c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1"/>
      <c r="B32" s="101"/>
      <c r="C32" s="101"/>
      <c r="D32" s="59" t="s">
        <v>59</v>
      </c>
      <c r="E32" s="102">
        <v>100000.0</v>
      </c>
      <c r="F32" s="59">
        <v>3.0</v>
      </c>
      <c r="G32" s="115">
        <v>10.0</v>
      </c>
      <c r="H32" s="101"/>
      <c r="I32" s="101">
        <f t="shared" ref="I32:I33" si="2">E32*F32/100</f>
        <v>3000</v>
      </c>
      <c r="J32" s="101">
        <f t="shared" ref="J32:J33" si="3">I32*G32</f>
        <v>30000</v>
      </c>
      <c r="K32" s="107">
        <f t="shared" ref="K32:K33" si="4">E32+J32</f>
        <v>130000</v>
      </c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01"/>
      <c r="B33" s="101"/>
      <c r="C33" s="101"/>
      <c r="D33" s="59" t="s">
        <v>111</v>
      </c>
      <c r="E33" s="102">
        <v>100000.0</v>
      </c>
      <c r="F33" s="59">
        <v>3.0</v>
      </c>
      <c r="G33" s="115">
        <v>8.0</v>
      </c>
      <c r="H33" s="101"/>
      <c r="I33" s="101">
        <f t="shared" si="2"/>
        <v>3000</v>
      </c>
      <c r="J33" s="101">
        <f t="shared" si="3"/>
        <v>24000</v>
      </c>
      <c r="K33" s="107">
        <f t="shared" si="4"/>
        <v>124000</v>
      </c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01"/>
      <c r="B34" s="101"/>
      <c r="C34" s="101"/>
      <c r="D34" s="101"/>
      <c r="E34" s="102"/>
      <c r="F34" s="101"/>
      <c r="G34" s="115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101"/>
      <c r="B35" s="101"/>
      <c r="C35" s="101"/>
      <c r="D35" s="101"/>
      <c r="E35" s="107"/>
      <c r="F35" s="101"/>
      <c r="G35" s="103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01"/>
      <c r="B36" s="101"/>
      <c r="C36" s="101"/>
      <c r="D36" s="101"/>
      <c r="E36" s="107"/>
      <c r="F36" s="101"/>
      <c r="G36" s="103"/>
      <c r="H36" s="101"/>
      <c r="I36" s="101"/>
      <c r="J36" s="101"/>
      <c r="K36" s="106">
        <f>SUM(K32:K34)</f>
        <v>254000</v>
      </c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01"/>
      <c r="B37" s="101"/>
      <c r="C37" s="101"/>
      <c r="D37" s="101"/>
      <c r="E37" s="107"/>
      <c r="F37" s="101"/>
      <c r="G37" s="103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101"/>
      <c r="B38" s="101"/>
      <c r="C38" s="101"/>
      <c r="D38" s="101"/>
      <c r="E38" s="107"/>
      <c r="F38" s="101"/>
      <c r="G38" s="103"/>
      <c r="H38" s="101"/>
      <c r="I38" s="117" t="s">
        <v>62</v>
      </c>
      <c r="J38" s="101"/>
      <c r="K38" s="106">
        <f>F24</f>
        <v>361200</v>
      </c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01"/>
      <c r="B39" s="101"/>
      <c r="C39" s="101"/>
      <c r="D39" s="101"/>
      <c r="E39" s="107"/>
      <c r="F39" s="101"/>
      <c r="G39" s="103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01"/>
      <c r="B40" s="101"/>
      <c r="C40" s="101"/>
      <c r="D40" s="101"/>
      <c r="E40" s="107"/>
      <c r="F40" s="101"/>
      <c r="G40" s="103"/>
      <c r="H40" s="101"/>
      <c r="I40" s="117" t="s">
        <v>72</v>
      </c>
      <c r="J40" s="101"/>
      <c r="K40" s="118">
        <f>K36-K38</f>
        <v>-107200</v>
      </c>
      <c r="L40" s="101"/>
      <c r="M40" s="59" t="s">
        <v>394</v>
      </c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01"/>
      <c r="B41" s="101"/>
      <c r="C41" s="101"/>
      <c r="D41" s="107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01"/>
      <c r="B42" s="101"/>
      <c r="C42" s="101"/>
      <c r="D42" s="107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101"/>
      <c r="B43" s="101"/>
      <c r="C43" s="101"/>
      <c r="D43" s="107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1"/>
      <c r="B44" s="101"/>
      <c r="C44" s="101"/>
      <c r="D44" s="107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1"/>
      <c r="B45" s="101"/>
      <c r="C45" s="101"/>
      <c r="D45" s="107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1"/>
      <c r="B46" s="101"/>
      <c r="C46" s="101"/>
      <c r="D46" s="107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1"/>
      <c r="B47" s="101"/>
      <c r="C47" s="101"/>
      <c r="D47" s="107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1"/>
      <c r="B48" s="101"/>
      <c r="C48" s="101"/>
      <c r="D48" s="107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1"/>
      <c r="B49" s="101"/>
      <c r="C49" s="101"/>
      <c r="D49" s="107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1"/>
      <c r="B50" s="101"/>
      <c r="C50" s="101"/>
      <c r="D50" s="107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1"/>
      <c r="B51" s="101"/>
      <c r="C51" s="101"/>
      <c r="D51" s="107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1"/>
      <c r="B52" s="101"/>
      <c r="C52" s="101"/>
      <c r="D52" s="107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1"/>
      <c r="B53" s="101"/>
      <c r="C53" s="101"/>
      <c r="D53" s="107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1"/>
      <c r="B54" s="101"/>
      <c r="C54" s="101"/>
      <c r="D54" s="107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1"/>
      <c r="B55" s="101"/>
      <c r="C55" s="101"/>
      <c r="D55" s="107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1"/>
      <c r="B56" s="101"/>
      <c r="C56" s="101"/>
      <c r="D56" s="107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1"/>
      <c r="B57" s="101"/>
      <c r="C57" s="101"/>
      <c r="D57" s="107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1"/>
      <c r="B58" s="101"/>
      <c r="C58" s="101"/>
      <c r="D58" s="107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1"/>
      <c r="B59" s="101"/>
      <c r="C59" s="101"/>
      <c r="D59" s="107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1"/>
      <c r="B60" s="101"/>
      <c r="C60" s="101"/>
      <c r="D60" s="107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1"/>
      <c r="B61" s="101"/>
      <c r="C61" s="101"/>
      <c r="D61" s="107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1"/>
      <c r="B62" s="101"/>
      <c r="C62" s="101"/>
      <c r="D62" s="107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1"/>
      <c r="B63" s="101"/>
      <c r="C63" s="101"/>
      <c r="D63" s="107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1"/>
      <c r="B64" s="101"/>
      <c r="C64" s="101"/>
      <c r="D64" s="107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1"/>
      <c r="B65" s="101"/>
      <c r="C65" s="101"/>
      <c r="D65" s="107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1"/>
      <c r="B66" s="101"/>
      <c r="C66" s="101"/>
      <c r="D66" s="107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1"/>
      <c r="B67" s="101"/>
      <c r="C67" s="101"/>
      <c r="D67" s="107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1"/>
      <c r="B68" s="101"/>
      <c r="C68" s="101"/>
      <c r="D68" s="107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1"/>
      <c r="B69" s="101"/>
      <c r="C69" s="101"/>
      <c r="D69" s="107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1"/>
      <c r="B70" s="101"/>
      <c r="C70" s="101"/>
      <c r="D70" s="107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1"/>
      <c r="B71" s="101"/>
      <c r="C71" s="101"/>
      <c r="D71" s="107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1"/>
      <c r="B72" s="101"/>
      <c r="C72" s="101"/>
      <c r="D72" s="107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1"/>
      <c r="B73" s="101"/>
      <c r="C73" s="101"/>
      <c r="D73" s="107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1"/>
      <c r="B74" s="101"/>
      <c r="C74" s="101"/>
      <c r="D74" s="107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1"/>
      <c r="B75" s="101"/>
      <c r="C75" s="101"/>
      <c r="D75" s="107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1"/>
      <c r="B76" s="101"/>
      <c r="C76" s="101"/>
      <c r="D76" s="107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1"/>
      <c r="B77" s="101"/>
      <c r="C77" s="101"/>
      <c r="D77" s="107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1"/>
      <c r="B78" s="101"/>
      <c r="C78" s="101"/>
      <c r="D78" s="107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1"/>
      <c r="B79" s="101"/>
      <c r="C79" s="101"/>
      <c r="D79" s="107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101"/>
      <c r="B80" s="101"/>
      <c r="C80" s="101"/>
      <c r="D80" s="107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101"/>
      <c r="B81" s="101"/>
      <c r="C81" s="101"/>
      <c r="D81" s="107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101"/>
      <c r="B82" s="101"/>
      <c r="C82" s="101"/>
      <c r="D82" s="107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101"/>
      <c r="B83" s="101"/>
      <c r="C83" s="101"/>
      <c r="D83" s="107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101"/>
      <c r="B84" s="101"/>
      <c r="C84" s="101"/>
      <c r="D84" s="107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101"/>
      <c r="B85" s="101"/>
      <c r="C85" s="101"/>
      <c r="D85" s="107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101"/>
      <c r="B86" s="101"/>
      <c r="C86" s="101"/>
      <c r="D86" s="107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101"/>
      <c r="B87" s="101"/>
      <c r="C87" s="101"/>
      <c r="D87" s="107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101"/>
      <c r="B88" s="101"/>
      <c r="C88" s="101"/>
      <c r="D88" s="107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101"/>
      <c r="B89" s="101"/>
      <c r="C89" s="101"/>
      <c r="D89" s="107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1"/>
      <c r="B90" s="101"/>
      <c r="C90" s="101"/>
      <c r="D90" s="107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1"/>
      <c r="B91" s="101"/>
      <c r="C91" s="101"/>
      <c r="D91" s="107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1"/>
      <c r="B92" s="101"/>
      <c r="C92" s="101"/>
      <c r="D92" s="107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1"/>
      <c r="B93" s="101"/>
      <c r="C93" s="101"/>
      <c r="D93" s="107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1"/>
      <c r="B94" s="101"/>
      <c r="C94" s="101"/>
      <c r="D94" s="107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1"/>
      <c r="B95" s="101"/>
      <c r="C95" s="101"/>
      <c r="D95" s="107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1"/>
      <c r="B96" s="101"/>
      <c r="C96" s="101"/>
      <c r="D96" s="107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1"/>
      <c r="B97" s="101"/>
      <c r="C97" s="101"/>
      <c r="D97" s="107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1"/>
      <c r="B98" s="101"/>
      <c r="C98" s="101"/>
      <c r="D98" s="107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1"/>
      <c r="B99" s="101"/>
      <c r="C99" s="101"/>
      <c r="D99" s="107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1"/>
      <c r="B100" s="101"/>
      <c r="C100" s="101"/>
      <c r="D100" s="107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1"/>
      <c r="B101" s="101"/>
      <c r="C101" s="101"/>
      <c r="D101" s="107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1"/>
      <c r="B102" s="101"/>
      <c r="C102" s="101"/>
      <c r="D102" s="107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1"/>
      <c r="B103" s="101"/>
      <c r="C103" s="101"/>
      <c r="D103" s="107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1"/>
      <c r="B104" s="101"/>
      <c r="C104" s="101"/>
      <c r="D104" s="107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1"/>
      <c r="B105" s="101"/>
      <c r="C105" s="101"/>
      <c r="D105" s="107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1"/>
      <c r="B106" s="101"/>
      <c r="C106" s="101"/>
      <c r="D106" s="107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1"/>
      <c r="B107" s="101"/>
      <c r="C107" s="101"/>
      <c r="D107" s="107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1"/>
      <c r="B108" s="101"/>
      <c r="C108" s="101"/>
      <c r="D108" s="107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1"/>
      <c r="B109" s="101"/>
      <c r="C109" s="101"/>
      <c r="D109" s="107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1"/>
      <c r="B110" s="101"/>
      <c r="C110" s="101"/>
      <c r="D110" s="107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1"/>
      <c r="B111" s="101"/>
      <c r="C111" s="101"/>
      <c r="D111" s="107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1"/>
      <c r="B112" s="101"/>
      <c r="C112" s="101"/>
      <c r="D112" s="107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1"/>
      <c r="B113" s="101"/>
      <c r="C113" s="101"/>
      <c r="D113" s="107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1"/>
      <c r="B114" s="101"/>
      <c r="C114" s="101"/>
      <c r="D114" s="107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1"/>
      <c r="B115" s="101"/>
      <c r="C115" s="101"/>
      <c r="D115" s="107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1"/>
      <c r="B116" s="101"/>
      <c r="C116" s="101"/>
      <c r="D116" s="107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1"/>
      <c r="B117" s="101"/>
      <c r="C117" s="101"/>
      <c r="D117" s="107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1"/>
      <c r="B118" s="101"/>
      <c r="C118" s="101"/>
      <c r="D118" s="107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1"/>
      <c r="B119" s="101"/>
      <c r="C119" s="101"/>
      <c r="D119" s="107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1"/>
      <c r="B120" s="101"/>
      <c r="C120" s="101"/>
      <c r="D120" s="107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1"/>
      <c r="B121" s="101"/>
      <c r="C121" s="101"/>
      <c r="D121" s="107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1"/>
      <c r="B122" s="101"/>
      <c r="C122" s="101"/>
      <c r="D122" s="107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1"/>
      <c r="B123" s="101"/>
      <c r="C123" s="101"/>
      <c r="D123" s="107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1"/>
      <c r="B124" s="101"/>
      <c r="C124" s="101"/>
      <c r="D124" s="107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1"/>
      <c r="B125" s="101"/>
      <c r="C125" s="101"/>
      <c r="D125" s="107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1"/>
      <c r="B126" s="101"/>
      <c r="C126" s="101"/>
      <c r="D126" s="107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1"/>
      <c r="B127" s="101"/>
      <c r="C127" s="101"/>
      <c r="D127" s="107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1"/>
      <c r="B128" s="101"/>
      <c r="C128" s="101"/>
      <c r="D128" s="107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1"/>
      <c r="B129" s="101"/>
      <c r="C129" s="101"/>
      <c r="D129" s="107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1"/>
      <c r="B130" s="101"/>
      <c r="C130" s="101"/>
      <c r="D130" s="107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1"/>
      <c r="B131" s="101"/>
      <c r="C131" s="101"/>
      <c r="D131" s="107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1"/>
      <c r="B132" s="101"/>
      <c r="C132" s="101"/>
      <c r="D132" s="107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1"/>
      <c r="B133" s="101"/>
      <c r="C133" s="101"/>
      <c r="D133" s="107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1"/>
      <c r="B134" s="101"/>
      <c r="C134" s="101"/>
      <c r="D134" s="107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1"/>
      <c r="B135" s="101"/>
      <c r="C135" s="101"/>
      <c r="D135" s="107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1"/>
      <c r="B136" s="101"/>
      <c r="C136" s="101"/>
      <c r="D136" s="107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1"/>
      <c r="B137" s="101"/>
      <c r="C137" s="101"/>
      <c r="D137" s="107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1"/>
      <c r="B138" s="101"/>
      <c r="C138" s="101"/>
      <c r="D138" s="107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1"/>
      <c r="B139" s="101"/>
      <c r="C139" s="101"/>
      <c r="D139" s="107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1"/>
      <c r="B140" s="101"/>
      <c r="C140" s="101"/>
      <c r="D140" s="107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1"/>
      <c r="B141" s="101"/>
      <c r="C141" s="101"/>
      <c r="D141" s="107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1"/>
      <c r="B142" s="101"/>
      <c r="C142" s="101"/>
      <c r="D142" s="107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1"/>
      <c r="B143" s="101"/>
      <c r="C143" s="101"/>
      <c r="D143" s="107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1"/>
      <c r="B144" s="101"/>
      <c r="C144" s="101"/>
      <c r="D144" s="107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1"/>
      <c r="B145" s="101"/>
      <c r="C145" s="101"/>
      <c r="D145" s="107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1"/>
      <c r="B146" s="101"/>
      <c r="C146" s="101"/>
      <c r="D146" s="107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1"/>
      <c r="B147" s="101"/>
      <c r="C147" s="101"/>
      <c r="D147" s="107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1"/>
      <c r="B148" s="101"/>
      <c r="C148" s="101"/>
      <c r="D148" s="107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1"/>
      <c r="B149" s="101"/>
      <c r="C149" s="101"/>
      <c r="D149" s="107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1"/>
      <c r="B150" s="101"/>
      <c r="C150" s="101"/>
      <c r="D150" s="107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1"/>
      <c r="B151" s="101"/>
      <c r="C151" s="101"/>
      <c r="D151" s="107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1"/>
      <c r="B152" s="101"/>
      <c r="C152" s="101"/>
      <c r="D152" s="107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1"/>
      <c r="B153" s="101"/>
      <c r="C153" s="101"/>
      <c r="D153" s="107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1"/>
      <c r="B154" s="101"/>
      <c r="C154" s="101"/>
      <c r="D154" s="107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1"/>
      <c r="B155" s="101"/>
      <c r="C155" s="101"/>
      <c r="D155" s="107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1"/>
      <c r="B156" s="101"/>
      <c r="C156" s="101"/>
      <c r="D156" s="107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1"/>
      <c r="B157" s="101"/>
      <c r="C157" s="101"/>
      <c r="D157" s="107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1"/>
      <c r="B158" s="101"/>
      <c r="C158" s="101"/>
      <c r="D158" s="107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1"/>
      <c r="B159" s="101"/>
      <c r="C159" s="101"/>
      <c r="D159" s="107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1"/>
      <c r="B160" s="101"/>
      <c r="C160" s="101"/>
      <c r="D160" s="107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1"/>
      <c r="B161" s="101"/>
      <c r="C161" s="101"/>
      <c r="D161" s="107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1"/>
      <c r="B162" s="101"/>
      <c r="C162" s="101"/>
      <c r="D162" s="107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1"/>
      <c r="B163" s="101"/>
      <c r="C163" s="101"/>
      <c r="D163" s="107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1"/>
      <c r="B164" s="101"/>
      <c r="C164" s="101"/>
      <c r="D164" s="107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1"/>
      <c r="B165" s="101"/>
      <c r="C165" s="101"/>
      <c r="D165" s="107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1"/>
      <c r="B166" s="101"/>
      <c r="C166" s="101"/>
      <c r="D166" s="107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1"/>
      <c r="B167" s="101"/>
      <c r="C167" s="101"/>
      <c r="D167" s="107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1"/>
      <c r="B168" s="101"/>
      <c r="C168" s="101"/>
      <c r="D168" s="107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1"/>
      <c r="B169" s="101"/>
      <c r="C169" s="101"/>
      <c r="D169" s="107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1"/>
      <c r="B170" s="101"/>
      <c r="C170" s="101"/>
      <c r="D170" s="107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1"/>
      <c r="B171" s="101"/>
      <c r="C171" s="101"/>
      <c r="D171" s="107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1"/>
      <c r="B172" s="101"/>
      <c r="C172" s="101"/>
      <c r="D172" s="107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1"/>
      <c r="B173" s="101"/>
      <c r="C173" s="101"/>
      <c r="D173" s="107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1"/>
      <c r="B174" s="101"/>
      <c r="C174" s="101"/>
      <c r="D174" s="107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1"/>
      <c r="B175" s="101"/>
      <c r="C175" s="101"/>
      <c r="D175" s="107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1"/>
      <c r="B176" s="101"/>
      <c r="C176" s="101"/>
      <c r="D176" s="107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1"/>
      <c r="B177" s="101"/>
      <c r="C177" s="101"/>
      <c r="D177" s="107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1"/>
      <c r="B178" s="101"/>
      <c r="C178" s="101"/>
      <c r="D178" s="107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1"/>
      <c r="B179" s="101"/>
      <c r="C179" s="101"/>
      <c r="D179" s="107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1"/>
      <c r="B180" s="101"/>
      <c r="C180" s="101"/>
      <c r="D180" s="107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1"/>
      <c r="B181" s="101"/>
      <c r="C181" s="101"/>
      <c r="D181" s="107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1"/>
      <c r="B182" s="101"/>
      <c r="C182" s="101"/>
      <c r="D182" s="107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1"/>
      <c r="B183" s="101"/>
      <c r="C183" s="101"/>
      <c r="D183" s="107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1"/>
      <c r="B184" s="101"/>
      <c r="C184" s="101"/>
      <c r="D184" s="107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1"/>
      <c r="B185" s="101"/>
      <c r="C185" s="101"/>
      <c r="D185" s="107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1"/>
      <c r="B186" s="101"/>
      <c r="C186" s="101"/>
      <c r="D186" s="107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1"/>
      <c r="B187" s="101"/>
      <c r="C187" s="101"/>
      <c r="D187" s="107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1"/>
      <c r="B188" s="101"/>
      <c r="C188" s="101"/>
      <c r="D188" s="107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1"/>
      <c r="B189" s="101"/>
      <c r="C189" s="101"/>
      <c r="D189" s="107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1"/>
      <c r="B190" s="101"/>
      <c r="C190" s="101"/>
      <c r="D190" s="107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1"/>
      <c r="B191" s="101"/>
      <c r="C191" s="101"/>
      <c r="D191" s="107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1"/>
      <c r="B192" s="101"/>
      <c r="C192" s="101"/>
      <c r="D192" s="107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1"/>
      <c r="B193" s="101"/>
      <c r="C193" s="101"/>
      <c r="D193" s="107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1"/>
      <c r="B194" s="101"/>
      <c r="C194" s="101"/>
      <c r="D194" s="107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1"/>
      <c r="B195" s="101"/>
      <c r="C195" s="101"/>
      <c r="D195" s="107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1"/>
      <c r="B196" s="101"/>
      <c r="C196" s="101"/>
      <c r="D196" s="107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1"/>
      <c r="B197" s="101"/>
      <c r="C197" s="101"/>
      <c r="D197" s="107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1"/>
      <c r="B198" s="101"/>
      <c r="C198" s="101"/>
      <c r="D198" s="107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1"/>
      <c r="B199" s="101"/>
      <c r="C199" s="101"/>
      <c r="D199" s="107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1"/>
      <c r="B200" s="101"/>
      <c r="C200" s="101"/>
      <c r="D200" s="107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1"/>
      <c r="B201" s="101"/>
      <c r="C201" s="101"/>
      <c r="D201" s="107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1"/>
      <c r="B202" s="101"/>
      <c r="C202" s="101"/>
      <c r="D202" s="107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1"/>
      <c r="B203" s="101"/>
      <c r="C203" s="101"/>
      <c r="D203" s="107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1"/>
      <c r="B204" s="101"/>
      <c r="C204" s="101"/>
      <c r="D204" s="107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1"/>
      <c r="B205" s="101"/>
      <c r="C205" s="101"/>
      <c r="D205" s="107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1"/>
      <c r="B206" s="101"/>
      <c r="C206" s="101"/>
      <c r="D206" s="107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1"/>
      <c r="B207" s="101"/>
      <c r="C207" s="101"/>
      <c r="D207" s="107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1"/>
      <c r="B208" s="101"/>
      <c r="C208" s="101"/>
      <c r="D208" s="107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1"/>
      <c r="B209" s="101"/>
      <c r="C209" s="101"/>
      <c r="D209" s="107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1"/>
      <c r="B210" s="101"/>
      <c r="C210" s="101"/>
      <c r="D210" s="107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1"/>
      <c r="B211" s="101"/>
      <c r="C211" s="101"/>
      <c r="D211" s="107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1"/>
      <c r="B212" s="101"/>
      <c r="C212" s="101"/>
      <c r="D212" s="107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1"/>
      <c r="B213" s="101"/>
      <c r="C213" s="101"/>
      <c r="D213" s="107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1"/>
      <c r="B214" s="101"/>
      <c r="C214" s="101"/>
      <c r="D214" s="107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1"/>
      <c r="B215" s="101"/>
      <c r="C215" s="101"/>
      <c r="D215" s="107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1"/>
      <c r="B216" s="101"/>
      <c r="C216" s="101"/>
      <c r="D216" s="107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1"/>
      <c r="B217" s="101"/>
      <c r="C217" s="101"/>
      <c r="D217" s="107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1"/>
      <c r="B218" s="101"/>
      <c r="C218" s="101"/>
      <c r="D218" s="107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1"/>
      <c r="B219" s="101"/>
      <c r="C219" s="101"/>
      <c r="D219" s="107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1"/>
      <c r="B220" s="101"/>
      <c r="C220" s="101"/>
      <c r="D220" s="107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1"/>
      <c r="B221" s="101"/>
      <c r="C221" s="101"/>
      <c r="D221" s="107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1"/>
      <c r="B222" s="101"/>
      <c r="C222" s="101"/>
      <c r="D222" s="107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1"/>
      <c r="B223" s="101"/>
      <c r="C223" s="101"/>
      <c r="D223" s="107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1"/>
      <c r="B224" s="101"/>
      <c r="C224" s="101"/>
      <c r="D224" s="107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1"/>
      <c r="B225" s="101"/>
      <c r="C225" s="101"/>
      <c r="D225" s="107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1"/>
      <c r="B226" s="101"/>
      <c r="C226" s="101"/>
      <c r="D226" s="107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1"/>
      <c r="B227" s="101"/>
      <c r="C227" s="101"/>
      <c r="D227" s="107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1"/>
      <c r="B228" s="101"/>
      <c r="C228" s="101"/>
      <c r="D228" s="107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1"/>
      <c r="B229" s="101"/>
      <c r="C229" s="101"/>
      <c r="D229" s="107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1"/>
      <c r="B230" s="101"/>
      <c r="C230" s="101"/>
      <c r="D230" s="107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1"/>
      <c r="B231" s="101"/>
      <c r="C231" s="101"/>
      <c r="D231" s="107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1"/>
      <c r="B232" s="101"/>
      <c r="C232" s="101"/>
      <c r="D232" s="107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1"/>
      <c r="B233" s="101"/>
      <c r="C233" s="101"/>
      <c r="D233" s="107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1"/>
      <c r="B234" s="101"/>
      <c r="C234" s="101"/>
      <c r="D234" s="107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1"/>
      <c r="B235" s="101"/>
      <c r="C235" s="101"/>
      <c r="D235" s="107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1"/>
      <c r="B236" s="101"/>
      <c r="C236" s="101"/>
      <c r="D236" s="107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1"/>
      <c r="B237" s="101"/>
      <c r="C237" s="101"/>
      <c r="D237" s="107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1"/>
      <c r="B238" s="101"/>
      <c r="C238" s="101"/>
      <c r="D238" s="107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1"/>
      <c r="B239" s="101"/>
      <c r="C239" s="101"/>
      <c r="D239" s="107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1"/>
      <c r="B240" s="101"/>
      <c r="C240" s="101"/>
      <c r="D240" s="107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1"/>
      <c r="B241" s="101"/>
      <c r="C241" s="101"/>
      <c r="D241" s="107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1"/>
      <c r="B242" s="101"/>
      <c r="C242" s="101"/>
      <c r="D242" s="107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1"/>
      <c r="B243" s="101"/>
      <c r="C243" s="101"/>
      <c r="D243" s="107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1"/>
      <c r="B244" s="101"/>
      <c r="C244" s="101"/>
      <c r="D244" s="107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1"/>
      <c r="B245" s="101"/>
      <c r="C245" s="101"/>
      <c r="D245" s="107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1"/>
      <c r="B246" s="101"/>
      <c r="C246" s="101"/>
      <c r="D246" s="107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1"/>
      <c r="B247" s="101"/>
      <c r="C247" s="101"/>
      <c r="D247" s="107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1"/>
      <c r="B248" s="101"/>
      <c r="C248" s="101"/>
      <c r="D248" s="107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1"/>
      <c r="B249" s="101"/>
      <c r="C249" s="101"/>
      <c r="D249" s="107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1"/>
      <c r="B250" s="101"/>
      <c r="C250" s="101"/>
      <c r="D250" s="107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1"/>
      <c r="B251" s="101"/>
      <c r="C251" s="101"/>
      <c r="D251" s="107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1"/>
      <c r="B252" s="101"/>
      <c r="C252" s="101"/>
      <c r="D252" s="107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1"/>
      <c r="B253" s="101"/>
      <c r="C253" s="101"/>
      <c r="D253" s="107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1"/>
      <c r="B254" s="101"/>
      <c r="C254" s="101"/>
      <c r="D254" s="107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1"/>
      <c r="B255" s="101"/>
      <c r="C255" s="101"/>
      <c r="D255" s="107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1"/>
      <c r="B256" s="101"/>
      <c r="C256" s="101"/>
      <c r="D256" s="107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1"/>
      <c r="B257" s="101"/>
      <c r="C257" s="101"/>
      <c r="D257" s="107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1"/>
      <c r="B258" s="101"/>
      <c r="C258" s="101"/>
      <c r="D258" s="107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1"/>
      <c r="B259" s="101"/>
      <c r="C259" s="101"/>
      <c r="D259" s="107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1"/>
      <c r="B260" s="101"/>
      <c r="C260" s="101"/>
      <c r="D260" s="107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1"/>
      <c r="B261" s="101"/>
      <c r="C261" s="101"/>
      <c r="D261" s="107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1"/>
      <c r="B262" s="101"/>
      <c r="C262" s="101"/>
      <c r="D262" s="107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1"/>
      <c r="B263" s="101"/>
      <c r="C263" s="101"/>
      <c r="D263" s="107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1"/>
      <c r="B264" s="101"/>
      <c r="C264" s="101"/>
      <c r="D264" s="107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1"/>
      <c r="B265" s="101"/>
      <c r="C265" s="101"/>
      <c r="D265" s="107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1"/>
      <c r="B266" s="101"/>
      <c r="C266" s="101"/>
      <c r="D266" s="107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1"/>
      <c r="B267" s="101"/>
      <c r="C267" s="101"/>
      <c r="D267" s="107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1"/>
      <c r="B268" s="101"/>
      <c r="C268" s="101"/>
      <c r="D268" s="107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1"/>
      <c r="B269" s="101"/>
      <c r="C269" s="101"/>
      <c r="D269" s="107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1"/>
      <c r="B270" s="101"/>
      <c r="C270" s="101"/>
      <c r="D270" s="107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1"/>
      <c r="B271" s="101"/>
      <c r="C271" s="101"/>
      <c r="D271" s="107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1"/>
      <c r="B272" s="101"/>
      <c r="C272" s="101"/>
      <c r="D272" s="107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1"/>
      <c r="B273" s="101"/>
      <c r="C273" s="101"/>
      <c r="D273" s="107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1"/>
      <c r="B274" s="101"/>
      <c r="C274" s="101"/>
      <c r="D274" s="107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1"/>
      <c r="B275" s="101"/>
      <c r="C275" s="101"/>
      <c r="D275" s="107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1"/>
      <c r="B276" s="101"/>
      <c r="C276" s="101"/>
      <c r="D276" s="107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1"/>
      <c r="B277" s="101"/>
      <c r="C277" s="101"/>
      <c r="D277" s="107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1"/>
      <c r="B278" s="101"/>
      <c r="C278" s="101"/>
      <c r="D278" s="107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1"/>
      <c r="B279" s="101"/>
      <c r="C279" s="101"/>
      <c r="D279" s="107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1"/>
      <c r="B280" s="101"/>
      <c r="C280" s="101"/>
      <c r="D280" s="107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1"/>
      <c r="B281" s="101"/>
      <c r="C281" s="101"/>
      <c r="D281" s="107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1"/>
      <c r="B282" s="101"/>
      <c r="C282" s="101"/>
      <c r="D282" s="107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1"/>
      <c r="B283" s="101"/>
      <c r="C283" s="101"/>
      <c r="D283" s="107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1"/>
      <c r="B284" s="101"/>
      <c r="C284" s="101"/>
      <c r="D284" s="107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1"/>
      <c r="B285" s="101"/>
      <c r="C285" s="101"/>
      <c r="D285" s="107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1"/>
      <c r="B286" s="101"/>
      <c r="C286" s="101"/>
      <c r="D286" s="107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1"/>
      <c r="B287" s="101"/>
      <c r="C287" s="101"/>
      <c r="D287" s="107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1"/>
      <c r="B288" s="101"/>
      <c r="C288" s="101"/>
      <c r="D288" s="107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1"/>
      <c r="B289" s="101"/>
      <c r="C289" s="101"/>
      <c r="D289" s="107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1"/>
      <c r="B290" s="101"/>
      <c r="C290" s="101"/>
      <c r="D290" s="107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1"/>
      <c r="B291" s="101"/>
      <c r="C291" s="101"/>
      <c r="D291" s="107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1"/>
      <c r="B292" s="101"/>
      <c r="C292" s="101"/>
      <c r="D292" s="107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1"/>
      <c r="B293" s="101"/>
      <c r="C293" s="101"/>
      <c r="D293" s="107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1"/>
      <c r="B294" s="101"/>
      <c r="C294" s="101"/>
      <c r="D294" s="107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1"/>
      <c r="B295" s="101"/>
      <c r="C295" s="101"/>
      <c r="D295" s="107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1"/>
      <c r="B296" s="101"/>
      <c r="C296" s="101"/>
      <c r="D296" s="107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1"/>
      <c r="B297" s="101"/>
      <c r="C297" s="101"/>
      <c r="D297" s="107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1"/>
      <c r="B298" s="101"/>
      <c r="C298" s="101"/>
      <c r="D298" s="107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1"/>
      <c r="B299" s="101"/>
      <c r="C299" s="101"/>
      <c r="D299" s="107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1"/>
      <c r="B300" s="101"/>
      <c r="C300" s="101"/>
      <c r="D300" s="107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1"/>
      <c r="B301" s="101"/>
      <c r="C301" s="101"/>
      <c r="D301" s="107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1"/>
      <c r="B302" s="101"/>
      <c r="C302" s="101"/>
      <c r="D302" s="107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1"/>
      <c r="B303" s="101"/>
      <c r="C303" s="101"/>
      <c r="D303" s="107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1"/>
      <c r="B304" s="101"/>
      <c r="C304" s="101"/>
      <c r="D304" s="107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1"/>
      <c r="B305" s="101"/>
      <c r="C305" s="101"/>
      <c r="D305" s="107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1"/>
      <c r="B306" s="101"/>
      <c r="C306" s="101"/>
      <c r="D306" s="107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1"/>
      <c r="B307" s="101"/>
      <c r="C307" s="101"/>
      <c r="D307" s="107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1"/>
      <c r="B308" s="101"/>
      <c r="C308" s="101"/>
      <c r="D308" s="107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1"/>
      <c r="B309" s="101"/>
      <c r="C309" s="101"/>
      <c r="D309" s="107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1"/>
      <c r="B310" s="101"/>
      <c r="C310" s="101"/>
      <c r="D310" s="107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1"/>
      <c r="B311" s="101"/>
      <c r="C311" s="101"/>
      <c r="D311" s="107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1"/>
      <c r="B312" s="101"/>
      <c r="C312" s="101"/>
      <c r="D312" s="107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1"/>
      <c r="B313" s="101"/>
      <c r="C313" s="101"/>
      <c r="D313" s="107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1"/>
      <c r="B314" s="101"/>
      <c r="C314" s="101"/>
      <c r="D314" s="107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1"/>
      <c r="B315" s="101"/>
      <c r="C315" s="101"/>
      <c r="D315" s="107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1"/>
      <c r="B316" s="101"/>
      <c r="C316" s="101"/>
      <c r="D316" s="107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1"/>
      <c r="B317" s="101"/>
      <c r="C317" s="101"/>
      <c r="D317" s="107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1"/>
      <c r="B318" s="101"/>
      <c r="C318" s="101"/>
      <c r="D318" s="107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1"/>
      <c r="B319" s="101"/>
      <c r="C319" s="101"/>
      <c r="D319" s="107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1"/>
      <c r="B320" s="101"/>
      <c r="C320" s="101"/>
      <c r="D320" s="107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1"/>
      <c r="B321" s="101"/>
      <c r="C321" s="101"/>
      <c r="D321" s="107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1"/>
      <c r="B322" s="101"/>
      <c r="C322" s="101"/>
      <c r="D322" s="107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1"/>
      <c r="B323" s="101"/>
      <c r="C323" s="101"/>
      <c r="D323" s="107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1"/>
      <c r="B324" s="101"/>
      <c r="C324" s="101"/>
      <c r="D324" s="107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1"/>
      <c r="B325" s="101"/>
      <c r="C325" s="101"/>
      <c r="D325" s="107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1"/>
      <c r="B326" s="101"/>
      <c r="C326" s="101"/>
      <c r="D326" s="107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1"/>
      <c r="B327" s="101"/>
      <c r="C327" s="101"/>
      <c r="D327" s="107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1"/>
      <c r="B328" s="101"/>
      <c r="C328" s="101"/>
      <c r="D328" s="107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1"/>
      <c r="B329" s="101"/>
      <c r="C329" s="101"/>
      <c r="D329" s="107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1"/>
      <c r="B330" s="101"/>
      <c r="C330" s="101"/>
      <c r="D330" s="107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1"/>
      <c r="B331" s="101"/>
      <c r="C331" s="101"/>
      <c r="D331" s="107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1"/>
      <c r="B332" s="101"/>
      <c r="C332" s="101"/>
      <c r="D332" s="107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1"/>
      <c r="B333" s="101"/>
      <c r="C333" s="101"/>
      <c r="D333" s="107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1"/>
      <c r="B334" s="101"/>
      <c r="C334" s="101"/>
      <c r="D334" s="107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1"/>
      <c r="B335" s="101"/>
      <c r="C335" s="101"/>
      <c r="D335" s="107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1"/>
      <c r="B336" s="101"/>
      <c r="C336" s="101"/>
      <c r="D336" s="107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1"/>
      <c r="B337" s="101"/>
      <c r="C337" s="101"/>
      <c r="D337" s="107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1"/>
      <c r="B338" s="101"/>
      <c r="C338" s="101"/>
      <c r="D338" s="107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1"/>
      <c r="B339" s="101"/>
      <c r="C339" s="101"/>
      <c r="D339" s="107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1"/>
      <c r="B340" s="101"/>
      <c r="C340" s="101"/>
      <c r="D340" s="107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1"/>
      <c r="B341" s="101"/>
      <c r="C341" s="101"/>
      <c r="D341" s="107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1"/>
      <c r="B342" s="101"/>
      <c r="C342" s="101"/>
      <c r="D342" s="107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1"/>
      <c r="B343" s="101"/>
      <c r="C343" s="101"/>
      <c r="D343" s="107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1"/>
      <c r="B344" s="101"/>
      <c r="C344" s="101"/>
      <c r="D344" s="107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1"/>
      <c r="B345" s="101"/>
      <c r="C345" s="101"/>
      <c r="D345" s="107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1"/>
      <c r="B346" s="101"/>
      <c r="C346" s="101"/>
      <c r="D346" s="107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1"/>
      <c r="B347" s="101"/>
      <c r="C347" s="101"/>
      <c r="D347" s="107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1"/>
      <c r="B348" s="101"/>
      <c r="C348" s="101"/>
      <c r="D348" s="107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1"/>
      <c r="B349" s="101"/>
      <c r="C349" s="101"/>
      <c r="D349" s="107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1"/>
      <c r="B350" s="101"/>
      <c r="C350" s="101"/>
      <c r="D350" s="107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1"/>
      <c r="B351" s="101"/>
      <c r="C351" s="101"/>
      <c r="D351" s="107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1"/>
      <c r="B352" s="101"/>
      <c r="C352" s="101"/>
      <c r="D352" s="107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1"/>
      <c r="B353" s="101"/>
      <c r="C353" s="101"/>
      <c r="D353" s="107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1"/>
      <c r="B354" s="101"/>
      <c r="C354" s="101"/>
      <c r="D354" s="107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1"/>
      <c r="B355" s="101"/>
      <c r="C355" s="101"/>
      <c r="D355" s="107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1"/>
      <c r="B356" s="101"/>
      <c r="C356" s="101"/>
      <c r="D356" s="107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1"/>
      <c r="B357" s="101"/>
      <c r="C357" s="101"/>
      <c r="D357" s="107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1"/>
      <c r="B358" s="101"/>
      <c r="C358" s="101"/>
      <c r="D358" s="107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1"/>
      <c r="B359" s="101"/>
      <c r="C359" s="101"/>
      <c r="D359" s="107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1"/>
      <c r="B360" s="101"/>
      <c r="C360" s="101"/>
      <c r="D360" s="107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1"/>
      <c r="B361" s="101"/>
      <c r="C361" s="101"/>
      <c r="D361" s="107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1"/>
      <c r="B362" s="101"/>
      <c r="C362" s="101"/>
      <c r="D362" s="107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1"/>
      <c r="B363" s="101"/>
      <c r="C363" s="101"/>
      <c r="D363" s="107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1"/>
      <c r="B364" s="101"/>
      <c r="C364" s="101"/>
      <c r="D364" s="107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1"/>
      <c r="B365" s="101"/>
      <c r="C365" s="101"/>
      <c r="D365" s="107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1"/>
      <c r="B366" s="101"/>
      <c r="C366" s="101"/>
      <c r="D366" s="107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1"/>
      <c r="B367" s="101"/>
      <c r="C367" s="101"/>
      <c r="D367" s="107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1"/>
      <c r="B368" s="101"/>
      <c r="C368" s="101"/>
      <c r="D368" s="107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1"/>
      <c r="B369" s="101"/>
      <c r="C369" s="101"/>
      <c r="D369" s="107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1"/>
      <c r="B370" s="101"/>
      <c r="C370" s="101"/>
      <c r="D370" s="107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1"/>
      <c r="B371" s="101"/>
      <c r="C371" s="101"/>
      <c r="D371" s="107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1"/>
      <c r="B372" s="101"/>
      <c r="C372" s="101"/>
      <c r="D372" s="107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1"/>
      <c r="B373" s="101"/>
      <c r="C373" s="101"/>
      <c r="D373" s="107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1"/>
      <c r="B374" s="101"/>
      <c r="C374" s="101"/>
      <c r="D374" s="107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1"/>
      <c r="B375" s="101"/>
      <c r="C375" s="101"/>
      <c r="D375" s="107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1"/>
      <c r="B376" s="101"/>
      <c r="C376" s="101"/>
      <c r="D376" s="107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1"/>
      <c r="B377" s="101"/>
      <c r="C377" s="101"/>
      <c r="D377" s="107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1"/>
      <c r="B378" s="101"/>
      <c r="C378" s="101"/>
      <c r="D378" s="107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1"/>
      <c r="B379" s="101"/>
      <c r="C379" s="101"/>
      <c r="D379" s="107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1"/>
      <c r="B380" s="101"/>
      <c r="C380" s="101"/>
      <c r="D380" s="107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1"/>
      <c r="B381" s="101"/>
      <c r="C381" s="101"/>
      <c r="D381" s="107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1"/>
      <c r="B382" s="101"/>
      <c r="C382" s="101"/>
      <c r="D382" s="107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1"/>
      <c r="B383" s="101"/>
      <c r="C383" s="101"/>
      <c r="D383" s="107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1"/>
      <c r="B384" s="101"/>
      <c r="C384" s="101"/>
      <c r="D384" s="107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1"/>
      <c r="B385" s="101"/>
      <c r="C385" s="101"/>
      <c r="D385" s="107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1"/>
      <c r="B386" s="101"/>
      <c r="C386" s="101"/>
      <c r="D386" s="107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1"/>
      <c r="B387" s="101"/>
      <c r="C387" s="101"/>
      <c r="D387" s="107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1"/>
      <c r="B388" s="101"/>
      <c r="C388" s="101"/>
      <c r="D388" s="107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1"/>
      <c r="B389" s="101"/>
      <c r="C389" s="101"/>
      <c r="D389" s="107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1"/>
      <c r="B390" s="101"/>
      <c r="C390" s="101"/>
      <c r="D390" s="107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1"/>
      <c r="B391" s="101"/>
      <c r="C391" s="101"/>
      <c r="D391" s="107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1"/>
      <c r="B392" s="101"/>
      <c r="C392" s="101"/>
      <c r="D392" s="107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1"/>
      <c r="B393" s="101"/>
      <c r="C393" s="101"/>
      <c r="D393" s="107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1"/>
      <c r="B394" s="101"/>
      <c r="C394" s="101"/>
      <c r="D394" s="107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1"/>
      <c r="B395" s="101"/>
      <c r="C395" s="101"/>
      <c r="D395" s="107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1"/>
      <c r="B396" s="101"/>
      <c r="C396" s="101"/>
      <c r="D396" s="107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1"/>
      <c r="B397" s="101"/>
      <c r="C397" s="101"/>
      <c r="D397" s="107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1"/>
      <c r="B398" s="101"/>
      <c r="C398" s="101"/>
      <c r="D398" s="107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1"/>
      <c r="B399" s="101"/>
      <c r="C399" s="101"/>
      <c r="D399" s="107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1"/>
      <c r="B400" s="101"/>
      <c r="C400" s="101"/>
      <c r="D400" s="107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1"/>
      <c r="B401" s="101"/>
      <c r="C401" s="101"/>
      <c r="D401" s="107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1"/>
      <c r="B402" s="101"/>
      <c r="C402" s="101"/>
      <c r="D402" s="107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1"/>
      <c r="B403" s="101"/>
      <c r="C403" s="101"/>
      <c r="D403" s="107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1"/>
      <c r="B404" s="101"/>
      <c r="C404" s="101"/>
      <c r="D404" s="107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1"/>
      <c r="B405" s="101"/>
      <c r="C405" s="101"/>
      <c r="D405" s="107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1"/>
      <c r="B406" s="101"/>
      <c r="C406" s="101"/>
      <c r="D406" s="107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1"/>
      <c r="B407" s="101"/>
      <c r="C407" s="101"/>
      <c r="D407" s="107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1"/>
      <c r="B408" s="101"/>
      <c r="C408" s="101"/>
      <c r="D408" s="107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1"/>
      <c r="B409" s="101"/>
      <c r="C409" s="101"/>
      <c r="D409" s="107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1"/>
      <c r="B410" s="101"/>
      <c r="C410" s="101"/>
      <c r="D410" s="107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1"/>
      <c r="B411" s="101"/>
      <c r="C411" s="101"/>
      <c r="D411" s="107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1"/>
      <c r="B412" s="101"/>
      <c r="C412" s="101"/>
      <c r="D412" s="107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1"/>
      <c r="B413" s="101"/>
      <c r="C413" s="101"/>
      <c r="D413" s="107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1"/>
      <c r="B414" s="101"/>
      <c r="C414" s="101"/>
      <c r="D414" s="107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1"/>
      <c r="B415" s="101"/>
      <c r="C415" s="101"/>
      <c r="D415" s="107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1"/>
      <c r="B416" s="101"/>
      <c r="C416" s="101"/>
      <c r="D416" s="107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1"/>
      <c r="B417" s="101"/>
      <c r="C417" s="101"/>
      <c r="D417" s="107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1"/>
      <c r="B418" s="101"/>
      <c r="C418" s="101"/>
      <c r="D418" s="107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1"/>
      <c r="B419" s="101"/>
      <c r="C419" s="101"/>
      <c r="D419" s="107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1"/>
      <c r="B420" s="101"/>
      <c r="C420" s="101"/>
      <c r="D420" s="107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1"/>
      <c r="B421" s="101"/>
      <c r="C421" s="101"/>
      <c r="D421" s="107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1"/>
      <c r="B422" s="101"/>
      <c r="C422" s="101"/>
      <c r="D422" s="107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1"/>
      <c r="B423" s="101"/>
      <c r="C423" s="101"/>
      <c r="D423" s="107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1"/>
      <c r="B424" s="101"/>
      <c r="C424" s="101"/>
      <c r="D424" s="107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1"/>
      <c r="B425" s="101"/>
      <c r="C425" s="101"/>
      <c r="D425" s="107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1"/>
      <c r="B426" s="101"/>
      <c r="C426" s="101"/>
      <c r="D426" s="107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1"/>
      <c r="B427" s="101"/>
      <c r="C427" s="101"/>
      <c r="D427" s="107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1"/>
      <c r="B428" s="101"/>
      <c r="C428" s="101"/>
      <c r="D428" s="107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1"/>
      <c r="B429" s="101"/>
      <c r="C429" s="101"/>
      <c r="D429" s="107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1"/>
      <c r="B430" s="101"/>
      <c r="C430" s="101"/>
      <c r="D430" s="107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1"/>
      <c r="B431" s="101"/>
      <c r="C431" s="101"/>
      <c r="D431" s="107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1"/>
      <c r="B432" s="101"/>
      <c r="C432" s="101"/>
      <c r="D432" s="107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1"/>
      <c r="B433" s="101"/>
      <c r="C433" s="101"/>
      <c r="D433" s="107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1"/>
      <c r="B434" s="101"/>
      <c r="C434" s="101"/>
      <c r="D434" s="107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1"/>
      <c r="B435" s="101"/>
      <c r="C435" s="101"/>
      <c r="D435" s="107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1"/>
      <c r="B436" s="101"/>
      <c r="C436" s="101"/>
      <c r="D436" s="107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1"/>
      <c r="B437" s="101"/>
      <c r="C437" s="101"/>
      <c r="D437" s="107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1"/>
      <c r="B438" s="101"/>
      <c r="C438" s="101"/>
      <c r="D438" s="107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1"/>
      <c r="B439" s="101"/>
      <c r="C439" s="101"/>
      <c r="D439" s="107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1"/>
      <c r="B440" s="101"/>
      <c r="C440" s="101"/>
      <c r="D440" s="107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1"/>
      <c r="B441" s="101"/>
      <c r="C441" s="101"/>
      <c r="D441" s="107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1"/>
      <c r="B442" s="101"/>
      <c r="C442" s="101"/>
      <c r="D442" s="107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1"/>
      <c r="B443" s="101"/>
      <c r="C443" s="101"/>
      <c r="D443" s="107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1"/>
      <c r="B444" s="101"/>
      <c r="C444" s="101"/>
      <c r="D444" s="107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1"/>
      <c r="B445" s="101"/>
      <c r="C445" s="101"/>
      <c r="D445" s="107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1"/>
      <c r="B446" s="101"/>
      <c r="C446" s="101"/>
      <c r="D446" s="107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1"/>
      <c r="B447" s="101"/>
      <c r="C447" s="101"/>
      <c r="D447" s="107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1"/>
      <c r="B448" s="101"/>
      <c r="C448" s="101"/>
      <c r="D448" s="107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1"/>
      <c r="B449" s="101"/>
      <c r="C449" s="101"/>
      <c r="D449" s="107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1"/>
      <c r="B450" s="101"/>
      <c r="C450" s="101"/>
      <c r="D450" s="107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1"/>
      <c r="B451" s="101"/>
      <c r="C451" s="101"/>
      <c r="D451" s="107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1"/>
      <c r="B452" s="101"/>
      <c r="C452" s="101"/>
      <c r="D452" s="107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1"/>
      <c r="B453" s="101"/>
      <c r="C453" s="101"/>
      <c r="D453" s="107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1"/>
      <c r="B454" s="101"/>
      <c r="C454" s="101"/>
      <c r="D454" s="107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1"/>
      <c r="B455" s="101"/>
      <c r="C455" s="101"/>
      <c r="D455" s="107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1"/>
      <c r="B456" s="101"/>
      <c r="C456" s="101"/>
      <c r="D456" s="107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1"/>
      <c r="B457" s="101"/>
      <c r="C457" s="101"/>
      <c r="D457" s="107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1"/>
      <c r="B458" s="101"/>
      <c r="C458" s="101"/>
      <c r="D458" s="107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1"/>
      <c r="B459" s="101"/>
      <c r="C459" s="101"/>
      <c r="D459" s="107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1"/>
      <c r="B460" s="101"/>
      <c r="C460" s="101"/>
      <c r="D460" s="107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1"/>
      <c r="B461" s="101"/>
      <c r="C461" s="101"/>
      <c r="D461" s="107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1"/>
      <c r="B462" s="101"/>
      <c r="C462" s="101"/>
      <c r="D462" s="107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1"/>
      <c r="B463" s="101"/>
      <c r="C463" s="101"/>
      <c r="D463" s="107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1"/>
      <c r="B464" s="101"/>
      <c r="C464" s="101"/>
      <c r="D464" s="107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1"/>
      <c r="B465" s="101"/>
      <c r="C465" s="101"/>
      <c r="D465" s="107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1"/>
      <c r="B466" s="101"/>
      <c r="C466" s="101"/>
      <c r="D466" s="107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1"/>
      <c r="B467" s="101"/>
      <c r="C467" s="101"/>
      <c r="D467" s="107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1"/>
      <c r="B468" s="101"/>
      <c r="C468" s="101"/>
      <c r="D468" s="107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1"/>
      <c r="B469" s="101"/>
      <c r="C469" s="101"/>
      <c r="D469" s="107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1"/>
      <c r="B470" s="101"/>
      <c r="C470" s="101"/>
      <c r="D470" s="107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1"/>
      <c r="B471" s="101"/>
      <c r="C471" s="101"/>
      <c r="D471" s="107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1"/>
      <c r="B472" s="101"/>
      <c r="C472" s="101"/>
      <c r="D472" s="107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1"/>
      <c r="B473" s="101"/>
      <c r="C473" s="101"/>
      <c r="D473" s="107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1"/>
      <c r="B474" s="101"/>
      <c r="C474" s="101"/>
      <c r="D474" s="107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1"/>
      <c r="B475" s="101"/>
      <c r="C475" s="101"/>
      <c r="D475" s="107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1"/>
      <c r="B476" s="101"/>
      <c r="C476" s="101"/>
      <c r="D476" s="107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1"/>
      <c r="B477" s="101"/>
      <c r="C477" s="101"/>
      <c r="D477" s="107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1"/>
      <c r="B478" s="101"/>
      <c r="C478" s="101"/>
      <c r="D478" s="107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1"/>
      <c r="B479" s="101"/>
      <c r="C479" s="101"/>
      <c r="D479" s="107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1"/>
      <c r="B480" s="101"/>
      <c r="C480" s="101"/>
      <c r="D480" s="107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1"/>
      <c r="B481" s="101"/>
      <c r="C481" s="101"/>
      <c r="D481" s="107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1"/>
      <c r="B482" s="101"/>
      <c r="C482" s="101"/>
      <c r="D482" s="107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1"/>
      <c r="B483" s="101"/>
      <c r="C483" s="101"/>
      <c r="D483" s="107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1"/>
      <c r="B484" s="101"/>
      <c r="C484" s="101"/>
      <c r="D484" s="107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1"/>
      <c r="B485" s="101"/>
      <c r="C485" s="101"/>
      <c r="D485" s="107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1"/>
      <c r="B486" s="101"/>
      <c r="C486" s="101"/>
      <c r="D486" s="107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1"/>
      <c r="B487" s="101"/>
      <c r="C487" s="101"/>
      <c r="D487" s="107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1"/>
      <c r="B488" s="101"/>
      <c r="C488" s="101"/>
      <c r="D488" s="107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1"/>
      <c r="B489" s="101"/>
      <c r="C489" s="101"/>
      <c r="D489" s="107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1"/>
      <c r="B490" s="101"/>
      <c r="C490" s="101"/>
      <c r="D490" s="107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1"/>
      <c r="B491" s="101"/>
      <c r="C491" s="101"/>
      <c r="D491" s="107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1"/>
      <c r="B492" s="101"/>
      <c r="C492" s="101"/>
      <c r="D492" s="107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1"/>
      <c r="B493" s="101"/>
      <c r="C493" s="101"/>
      <c r="D493" s="107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1"/>
      <c r="B494" s="101"/>
      <c r="C494" s="101"/>
      <c r="D494" s="107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1"/>
      <c r="B495" s="101"/>
      <c r="C495" s="101"/>
      <c r="D495" s="107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1"/>
      <c r="B496" s="101"/>
      <c r="C496" s="101"/>
      <c r="D496" s="107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1"/>
      <c r="B497" s="101"/>
      <c r="C497" s="101"/>
      <c r="D497" s="107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1"/>
      <c r="B498" s="101"/>
      <c r="C498" s="101"/>
      <c r="D498" s="107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1"/>
      <c r="B499" s="101"/>
      <c r="C499" s="101"/>
      <c r="D499" s="107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1"/>
      <c r="B500" s="101"/>
      <c r="C500" s="101"/>
      <c r="D500" s="107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1"/>
      <c r="B501" s="101"/>
      <c r="C501" s="101"/>
      <c r="D501" s="107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1"/>
      <c r="B502" s="101"/>
      <c r="C502" s="101"/>
      <c r="D502" s="107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1"/>
      <c r="B503" s="101"/>
      <c r="C503" s="101"/>
      <c r="D503" s="107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1"/>
      <c r="B504" s="101"/>
      <c r="C504" s="101"/>
      <c r="D504" s="107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1"/>
      <c r="B505" s="101"/>
      <c r="C505" s="101"/>
      <c r="D505" s="107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1"/>
      <c r="B506" s="101"/>
      <c r="C506" s="101"/>
      <c r="D506" s="107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1"/>
      <c r="B507" s="101"/>
      <c r="C507" s="101"/>
      <c r="D507" s="107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1"/>
      <c r="B508" s="101"/>
      <c r="C508" s="101"/>
      <c r="D508" s="107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1"/>
      <c r="B509" s="101"/>
      <c r="C509" s="101"/>
      <c r="D509" s="107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1"/>
      <c r="B510" s="101"/>
      <c r="C510" s="101"/>
      <c r="D510" s="107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1"/>
      <c r="B511" s="101"/>
      <c r="C511" s="101"/>
      <c r="D511" s="107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1"/>
      <c r="B512" s="101"/>
      <c r="C512" s="101"/>
      <c r="D512" s="107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1"/>
      <c r="B513" s="101"/>
      <c r="C513" s="101"/>
      <c r="D513" s="107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1"/>
      <c r="B514" s="101"/>
      <c r="C514" s="101"/>
      <c r="D514" s="107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1"/>
      <c r="B515" s="101"/>
      <c r="C515" s="101"/>
      <c r="D515" s="107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1"/>
      <c r="B516" s="101"/>
      <c r="C516" s="101"/>
      <c r="D516" s="107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1"/>
      <c r="B517" s="101"/>
      <c r="C517" s="101"/>
      <c r="D517" s="107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1"/>
      <c r="B518" s="101"/>
      <c r="C518" s="101"/>
      <c r="D518" s="107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1"/>
      <c r="B519" s="101"/>
      <c r="C519" s="101"/>
      <c r="D519" s="107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1"/>
      <c r="B520" s="101"/>
      <c r="C520" s="101"/>
      <c r="D520" s="107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1"/>
      <c r="B521" s="101"/>
      <c r="C521" s="101"/>
      <c r="D521" s="107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1"/>
      <c r="B522" s="101"/>
      <c r="C522" s="101"/>
      <c r="D522" s="107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1"/>
      <c r="B523" s="101"/>
      <c r="C523" s="101"/>
      <c r="D523" s="107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1"/>
      <c r="B524" s="101"/>
      <c r="C524" s="101"/>
      <c r="D524" s="107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1"/>
      <c r="B525" s="101"/>
      <c r="C525" s="101"/>
      <c r="D525" s="107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1"/>
      <c r="B526" s="101"/>
      <c r="C526" s="101"/>
      <c r="D526" s="107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1"/>
      <c r="B527" s="101"/>
      <c r="C527" s="101"/>
      <c r="D527" s="107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1"/>
      <c r="B528" s="101"/>
      <c r="C528" s="101"/>
      <c r="D528" s="107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1"/>
      <c r="B529" s="101"/>
      <c r="C529" s="101"/>
      <c r="D529" s="107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1"/>
      <c r="B530" s="101"/>
      <c r="C530" s="101"/>
      <c r="D530" s="107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1"/>
      <c r="B531" s="101"/>
      <c r="C531" s="101"/>
      <c r="D531" s="107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1"/>
      <c r="B532" s="101"/>
      <c r="C532" s="101"/>
      <c r="D532" s="107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1"/>
      <c r="B533" s="101"/>
      <c r="C533" s="101"/>
      <c r="D533" s="107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1"/>
      <c r="B534" s="101"/>
      <c r="C534" s="101"/>
      <c r="D534" s="107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1"/>
      <c r="B535" s="101"/>
      <c r="C535" s="101"/>
      <c r="D535" s="107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1"/>
      <c r="B536" s="101"/>
      <c r="C536" s="101"/>
      <c r="D536" s="107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1"/>
      <c r="B537" s="101"/>
      <c r="C537" s="101"/>
      <c r="D537" s="107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1"/>
      <c r="B538" s="101"/>
      <c r="C538" s="101"/>
      <c r="D538" s="107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1"/>
      <c r="B539" s="101"/>
      <c r="C539" s="101"/>
      <c r="D539" s="107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1"/>
      <c r="B540" s="101"/>
      <c r="C540" s="101"/>
      <c r="D540" s="107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1"/>
      <c r="B541" s="101"/>
      <c r="C541" s="101"/>
      <c r="D541" s="107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1"/>
      <c r="B542" s="101"/>
      <c r="C542" s="101"/>
      <c r="D542" s="107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1"/>
      <c r="B543" s="101"/>
      <c r="C543" s="101"/>
      <c r="D543" s="107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1"/>
      <c r="B544" s="101"/>
      <c r="C544" s="101"/>
      <c r="D544" s="107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1"/>
      <c r="B545" s="101"/>
      <c r="C545" s="101"/>
      <c r="D545" s="107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1"/>
      <c r="B546" s="101"/>
      <c r="C546" s="101"/>
      <c r="D546" s="107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1"/>
      <c r="B547" s="101"/>
      <c r="C547" s="101"/>
      <c r="D547" s="107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1"/>
      <c r="B548" s="101"/>
      <c r="C548" s="101"/>
      <c r="D548" s="107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1"/>
      <c r="B549" s="101"/>
      <c r="C549" s="101"/>
      <c r="D549" s="107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1"/>
      <c r="B550" s="101"/>
      <c r="C550" s="101"/>
      <c r="D550" s="107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1"/>
      <c r="B551" s="101"/>
      <c r="C551" s="101"/>
      <c r="D551" s="107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1"/>
      <c r="B552" s="101"/>
      <c r="C552" s="101"/>
      <c r="D552" s="107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1"/>
      <c r="B553" s="101"/>
      <c r="C553" s="101"/>
      <c r="D553" s="107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1"/>
      <c r="B554" s="101"/>
      <c r="C554" s="101"/>
      <c r="D554" s="107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1"/>
      <c r="B555" s="101"/>
      <c r="C555" s="101"/>
      <c r="D555" s="107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1"/>
      <c r="B556" s="101"/>
      <c r="C556" s="101"/>
      <c r="D556" s="107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1"/>
      <c r="B557" s="101"/>
      <c r="C557" s="101"/>
      <c r="D557" s="107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1"/>
      <c r="B558" s="101"/>
      <c r="C558" s="101"/>
      <c r="D558" s="107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1"/>
      <c r="B559" s="101"/>
      <c r="C559" s="101"/>
      <c r="D559" s="107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1"/>
      <c r="B560" s="101"/>
      <c r="C560" s="101"/>
      <c r="D560" s="107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1"/>
      <c r="B561" s="101"/>
      <c r="C561" s="101"/>
      <c r="D561" s="107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1"/>
      <c r="B562" s="101"/>
      <c r="C562" s="101"/>
      <c r="D562" s="107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1"/>
      <c r="B563" s="101"/>
      <c r="C563" s="101"/>
      <c r="D563" s="107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1"/>
      <c r="B564" s="101"/>
      <c r="C564" s="101"/>
      <c r="D564" s="107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1"/>
      <c r="B565" s="101"/>
      <c r="C565" s="101"/>
      <c r="D565" s="107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1"/>
      <c r="B566" s="101"/>
      <c r="C566" s="101"/>
      <c r="D566" s="107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1"/>
      <c r="B567" s="101"/>
      <c r="C567" s="101"/>
      <c r="D567" s="107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1"/>
      <c r="B568" s="101"/>
      <c r="C568" s="101"/>
      <c r="D568" s="107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1"/>
      <c r="B569" s="101"/>
      <c r="C569" s="101"/>
      <c r="D569" s="107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1"/>
      <c r="B570" s="101"/>
      <c r="C570" s="101"/>
      <c r="D570" s="107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1"/>
      <c r="B571" s="101"/>
      <c r="C571" s="101"/>
      <c r="D571" s="107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1"/>
      <c r="B572" s="101"/>
      <c r="C572" s="101"/>
      <c r="D572" s="107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1"/>
      <c r="B573" s="101"/>
      <c r="C573" s="101"/>
      <c r="D573" s="107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1"/>
      <c r="B574" s="101"/>
      <c r="C574" s="101"/>
      <c r="D574" s="107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1"/>
      <c r="B575" s="101"/>
      <c r="C575" s="101"/>
      <c r="D575" s="107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1"/>
      <c r="B576" s="101"/>
      <c r="C576" s="101"/>
      <c r="D576" s="107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1"/>
      <c r="B577" s="101"/>
      <c r="C577" s="101"/>
      <c r="D577" s="107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1"/>
      <c r="B578" s="101"/>
      <c r="C578" s="101"/>
      <c r="D578" s="107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1"/>
      <c r="B579" s="101"/>
      <c r="C579" s="101"/>
      <c r="D579" s="107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1"/>
      <c r="B580" s="101"/>
      <c r="C580" s="101"/>
      <c r="D580" s="107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1"/>
      <c r="B581" s="101"/>
      <c r="C581" s="101"/>
      <c r="D581" s="107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1"/>
      <c r="B582" s="101"/>
      <c r="C582" s="101"/>
      <c r="D582" s="107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1"/>
      <c r="B583" s="101"/>
      <c r="C583" s="101"/>
      <c r="D583" s="107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1"/>
      <c r="B584" s="101"/>
      <c r="C584" s="101"/>
      <c r="D584" s="107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1"/>
      <c r="B585" s="101"/>
      <c r="C585" s="101"/>
      <c r="D585" s="107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1"/>
      <c r="B586" s="101"/>
      <c r="C586" s="101"/>
      <c r="D586" s="107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1"/>
      <c r="B587" s="101"/>
      <c r="C587" s="101"/>
      <c r="D587" s="107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1"/>
      <c r="B588" s="101"/>
      <c r="C588" s="101"/>
      <c r="D588" s="107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1"/>
      <c r="B589" s="101"/>
      <c r="C589" s="101"/>
      <c r="D589" s="107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1"/>
      <c r="B590" s="101"/>
      <c r="C590" s="101"/>
      <c r="D590" s="107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1"/>
      <c r="B591" s="101"/>
      <c r="C591" s="101"/>
      <c r="D591" s="107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1"/>
      <c r="B592" s="101"/>
      <c r="C592" s="101"/>
      <c r="D592" s="107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1"/>
      <c r="B593" s="101"/>
      <c r="C593" s="101"/>
      <c r="D593" s="107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1"/>
      <c r="B594" s="101"/>
      <c r="C594" s="101"/>
      <c r="D594" s="107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1"/>
      <c r="B595" s="101"/>
      <c r="C595" s="101"/>
      <c r="D595" s="107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1"/>
      <c r="B596" s="101"/>
      <c r="C596" s="101"/>
      <c r="D596" s="107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1"/>
      <c r="B597" s="101"/>
      <c r="C597" s="101"/>
      <c r="D597" s="107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1"/>
      <c r="B598" s="101"/>
      <c r="C598" s="101"/>
      <c r="D598" s="107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1"/>
      <c r="B599" s="101"/>
      <c r="C599" s="101"/>
      <c r="D599" s="107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1"/>
      <c r="B600" s="101"/>
      <c r="C600" s="101"/>
      <c r="D600" s="107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1"/>
      <c r="B601" s="101"/>
      <c r="C601" s="101"/>
      <c r="D601" s="107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1"/>
      <c r="B602" s="101"/>
      <c r="C602" s="101"/>
      <c r="D602" s="107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1"/>
      <c r="B603" s="101"/>
      <c r="C603" s="101"/>
      <c r="D603" s="107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1"/>
      <c r="B604" s="101"/>
      <c r="C604" s="101"/>
      <c r="D604" s="107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1"/>
      <c r="B605" s="101"/>
      <c r="C605" s="101"/>
      <c r="D605" s="107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1"/>
      <c r="B606" s="101"/>
      <c r="C606" s="101"/>
      <c r="D606" s="107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1"/>
      <c r="B607" s="101"/>
      <c r="C607" s="101"/>
      <c r="D607" s="107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1"/>
      <c r="B608" s="101"/>
      <c r="C608" s="101"/>
      <c r="D608" s="107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1"/>
      <c r="B609" s="101"/>
      <c r="C609" s="101"/>
      <c r="D609" s="107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1"/>
      <c r="B610" s="101"/>
      <c r="C610" s="101"/>
      <c r="D610" s="107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1"/>
      <c r="B611" s="101"/>
      <c r="C611" s="101"/>
      <c r="D611" s="107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1"/>
      <c r="B612" s="101"/>
      <c r="C612" s="101"/>
      <c r="D612" s="107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1"/>
      <c r="B613" s="101"/>
      <c r="C613" s="101"/>
      <c r="D613" s="107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1"/>
      <c r="B614" s="101"/>
      <c r="C614" s="101"/>
      <c r="D614" s="107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1"/>
      <c r="B615" s="101"/>
      <c r="C615" s="101"/>
      <c r="D615" s="107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1"/>
      <c r="B616" s="101"/>
      <c r="C616" s="101"/>
      <c r="D616" s="107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1"/>
      <c r="B617" s="101"/>
      <c r="C617" s="101"/>
      <c r="D617" s="107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1"/>
      <c r="B618" s="101"/>
      <c r="C618" s="101"/>
      <c r="D618" s="107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1"/>
      <c r="B619" s="101"/>
      <c r="C619" s="101"/>
      <c r="D619" s="107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1"/>
      <c r="B620" s="101"/>
      <c r="C620" s="101"/>
      <c r="D620" s="107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1"/>
      <c r="B621" s="101"/>
      <c r="C621" s="101"/>
      <c r="D621" s="107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1"/>
      <c r="B622" s="101"/>
      <c r="C622" s="101"/>
      <c r="D622" s="107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1"/>
      <c r="B623" s="101"/>
      <c r="C623" s="101"/>
      <c r="D623" s="107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1"/>
      <c r="B624" s="101"/>
      <c r="C624" s="101"/>
      <c r="D624" s="107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1"/>
      <c r="B625" s="101"/>
      <c r="C625" s="101"/>
      <c r="D625" s="107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1"/>
      <c r="B626" s="101"/>
      <c r="C626" s="101"/>
      <c r="D626" s="107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1"/>
      <c r="B627" s="101"/>
      <c r="C627" s="101"/>
      <c r="D627" s="107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1"/>
      <c r="B628" s="101"/>
      <c r="C628" s="101"/>
      <c r="D628" s="107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1"/>
      <c r="B629" s="101"/>
      <c r="C629" s="101"/>
      <c r="D629" s="107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1"/>
      <c r="B630" s="101"/>
      <c r="C630" s="101"/>
      <c r="D630" s="107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1"/>
      <c r="B631" s="101"/>
      <c r="C631" s="101"/>
      <c r="D631" s="107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1"/>
      <c r="B632" s="101"/>
      <c r="C632" s="101"/>
      <c r="D632" s="107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1"/>
      <c r="B633" s="101"/>
      <c r="C633" s="101"/>
      <c r="D633" s="107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1"/>
      <c r="B634" s="101"/>
      <c r="C634" s="101"/>
      <c r="D634" s="107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1"/>
      <c r="B635" s="101"/>
      <c r="C635" s="101"/>
      <c r="D635" s="107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1"/>
      <c r="B636" s="101"/>
      <c r="C636" s="101"/>
      <c r="D636" s="107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1"/>
      <c r="B637" s="101"/>
      <c r="C637" s="101"/>
      <c r="D637" s="107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1"/>
      <c r="B638" s="101"/>
      <c r="C638" s="101"/>
      <c r="D638" s="107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1"/>
      <c r="B639" s="101"/>
      <c r="C639" s="101"/>
      <c r="D639" s="107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1"/>
      <c r="B640" s="101"/>
      <c r="C640" s="101"/>
      <c r="D640" s="107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1"/>
      <c r="B641" s="101"/>
      <c r="C641" s="101"/>
      <c r="D641" s="107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1"/>
      <c r="B642" s="101"/>
      <c r="C642" s="101"/>
      <c r="D642" s="107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1"/>
      <c r="B643" s="101"/>
      <c r="C643" s="101"/>
      <c r="D643" s="107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1"/>
      <c r="B644" s="101"/>
      <c r="C644" s="101"/>
      <c r="D644" s="107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1"/>
      <c r="B645" s="101"/>
      <c r="C645" s="101"/>
      <c r="D645" s="107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1"/>
      <c r="B646" s="101"/>
      <c r="C646" s="101"/>
      <c r="D646" s="107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1"/>
      <c r="B647" s="101"/>
      <c r="C647" s="101"/>
      <c r="D647" s="107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1"/>
      <c r="B648" s="101"/>
      <c r="C648" s="101"/>
      <c r="D648" s="107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1"/>
      <c r="B649" s="101"/>
      <c r="C649" s="101"/>
      <c r="D649" s="107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1"/>
      <c r="B650" s="101"/>
      <c r="C650" s="101"/>
      <c r="D650" s="107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1"/>
      <c r="B651" s="101"/>
      <c r="C651" s="101"/>
      <c r="D651" s="107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1"/>
      <c r="B652" s="101"/>
      <c r="C652" s="101"/>
      <c r="D652" s="107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1"/>
      <c r="B653" s="101"/>
      <c r="C653" s="101"/>
      <c r="D653" s="107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1"/>
      <c r="B654" s="101"/>
      <c r="C654" s="101"/>
      <c r="D654" s="107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1"/>
      <c r="B655" s="101"/>
      <c r="C655" s="101"/>
      <c r="D655" s="107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1"/>
      <c r="B656" s="101"/>
      <c r="C656" s="101"/>
      <c r="D656" s="107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1"/>
      <c r="B657" s="101"/>
      <c r="C657" s="101"/>
      <c r="D657" s="107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1"/>
      <c r="B658" s="101"/>
      <c r="C658" s="101"/>
      <c r="D658" s="107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1"/>
      <c r="B659" s="101"/>
      <c r="C659" s="101"/>
      <c r="D659" s="107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1"/>
      <c r="B660" s="101"/>
      <c r="C660" s="101"/>
      <c r="D660" s="107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1"/>
      <c r="B661" s="101"/>
      <c r="C661" s="101"/>
      <c r="D661" s="107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1"/>
      <c r="B662" s="101"/>
      <c r="C662" s="101"/>
      <c r="D662" s="107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1"/>
      <c r="B663" s="101"/>
      <c r="C663" s="101"/>
      <c r="D663" s="107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1"/>
      <c r="B664" s="101"/>
      <c r="C664" s="101"/>
      <c r="D664" s="107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1"/>
      <c r="B665" s="101"/>
      <c r="C665" s="101"/>
      <c r="D665" s="107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1"/>
      <c r="B666" s="101"/>
      <c r="C666" s="101"/>
      <c r="D666" s="107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1"/>
      <c r="B667" s="101"/>
      <c r="C667" s="101"/>
      <c r="D667" s="107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1"/>
      <c r="B668" s="101"/>
      <c r="C668" s="101"/>
      <c r="D668" s="107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1"/>
      <c r="B669" s="101"/>
      <c r="C669" s="101"/>
      <c r="D669" s="107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1"/>
      <c r="B670" s="101"/>
      <c r="C670" s="101"/>
      <c r="D670" s="107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1"/>
      <c r="B671" s="101"/>
      <c r="C671" s="101"/>
      <c r="D671" s="107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1"/>
      <c r="B672" s="101"/>
      <c r="C672" s="101"/>
      <c r="D672" s="107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1"/>
      <c r="B673" s="101"/>
      <c r="C673" s="101"/>
      <c r="D673" s="107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1"/>
      <c r="B674" s="101"/>
      <c r="C674" s="101"/>
      <c r="D674" s="107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1"/>
      <c r="B675" s="101"/>
      <c r="C675" s="101"/>
      <c r="D675" s="107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1"/>
      <c r="B676" s="101"/>
      <c r="C676" s="101"/>
      <c r="D676" s="107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1"/>
      <c r="B677" s="101"/>
      <c r="C677" s="101"/>
      <c r="D677" s="107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1"/>
      <c r="B678" s="101"/>
      <c r="C678" s="101"/>
      <c r="D678" s="107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1"/>
      <c r="B679" s="101"/>
      <c r="C679" s="101"/>
      <c r="D679" s="107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1"/>
      <c r="B680" s="101"/>
      <c r="C680" s="101"/>
      <c r="D680" s="107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1"/>
      <c r="B681" s="101"/>
      <c r="C681" s="101"/>
      <c r="D681" s="107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1"/>
      <c r="B682" s="101"/>
      <c r="C682" s="101"/>
      <c r="D682" s="107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1"/>
      <c r="B683" s="101"/>
      <c r="C683" s="101"/>
      <c r="D683" s="107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1"/>
      <c r="B684" s="101"/>
      <c r="C684" s="101"/>
      <c r="D684" s="107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1"/>
      <c r="B685" s="101"/>
      <c r="C685" s="101"/>
      <c r="D685" s="107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1"/>
      <c r="B686" s="101"/>
      <c r="C686" s="101"/>
      <c r="D686" s="107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1"/>
      <c r="B687" s="101"/>
      <c r="C687" s="101"/>
      <c r="D687" s="107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1"/>
      <c r="B688" s="101"/>
      <c r="C688" s="101"/>
      <c r="D688" s="107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1"/>
      <c r="B689" s="101"/>
      <c r="C689" s="101"/>
      <c r="D689" s="107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1"/>
      <c r="B690" s="101"/>
      <c r="C690" s="101"/>
      <c r="D690" s="107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1"/>
      <c r="B691" s="101"/>
      <c r="C691" s="101"/>
      <c r="D691" s="107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1"/>
      <c r="B692" s="101"/>
      <c r="C692" s="101"/>
      <c r="D692" s="107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1"/>
      <c r="B693" s="101"/>
      <c r="C693" s="101"/>
      <c r="D693" s="107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1"/>
      <c r="B694" s="101"/>
      <c r="C694" s="101"/>
      <c r="D694" s="107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1"/>
      <c r="B695" s="101"/>
      <c r="C695" s="101"/>
      <c r="D695" s="107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1"/>
      <c r="B696" s="101"/>
      <c r="C696" s="101"/>
      <c r="D696" s="107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1"/>
      <c r="B697" s="101"/>
      <c r="C697" s="101"/>
      <c r="D697" s="107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1"/>
      <c r="B698" s="101"/>
      <c r="C698" s="101"/>
      <c r="D698" s="107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1"/>
      <c r="B699" s="101"/>
      <c r="C699" s="101"/>
      <c r="D699" s="107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1"/>
      <c r="B700" s="101"/>
      <c r="C700" s="101"/>
      <c r="D700" s="107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1"/>
      <c r="B701" s="101"/>
      <c r="C701" s="101"/>
      <c r="D701" s="107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1"/>
      <c r="B702" s="101"/>
      <c r="C702" s="101"/>
      <c r="D702" s="107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1"/>
      <c r="B703" s="101"/>
      <c r="C703" s="101"/>
      <c r="D703" s="107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1"/>
      <c r="B704" s="101"/>
      <c r="C704" s="101"/>
      <c r="D704" s="107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1"/>
      <c r="B705" s="101"/>
      <c r="C705" s="101"/>
      <c r="D705" s="107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1"/>
      <c r="B706" s="101"/>
      <c r="C706" s="101"/>
      <c r="D706" s="107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1"/>
      <c r="B707" s="101"/>
      <c r="C707" s="101"/>
      <c r="D707" s="107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1"/>
      <c r="B708" s="101"/>
      <c r="C708" s="101"/>
      <c r="D708" s="107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1"/>
      <c r="B709" s="101"/>
      <c r="C709" s="101"/>
      <c r="D709" s="107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1"/>
      <c r="B710" s="101"/>
      <c r="C710" s="101"/>
      <c r="D710" s="107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1"/>
      <c r="B711" s="101"/>
      <c r="C711" s="101"/>
      <c r="D711" s="107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1"/>
      <c r="B712" s="101"/>
      <c r="C712" s="101"/>
      <c r="D712" s="107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1"/>
      <c r="B713" s="101"/>
      <c r="C713" s="101"/>
      <c r="D713" s="107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1"/>
      <c r="B714" s="101"/>
      <c r="C714" s="101"/>
      <c r="D714" s="107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1"/>
      <c r="B715" s="101"/>
      <c r="C715" s="101"/>
      <c r="D715" s="107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1"/>
      <c r="B716" s="101"/>
      <c r="C716" s="101"/>
      <c r="D716" s="107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1"/>
      <c r="B717" s="101"/>
      <c r="C717" s="101"/>
      <c r="D717" s="107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1"/>
      <c r="B718" s="101"/>
      <c r="C718" s="101"/>
      <c r="D718" s="107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1"/>
      <c r="B719" s="101"/>
      <c r="C719" s="101"/>
      <c r="D719" s="107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1"/>
      <c r="B720" s="101"/>
      <c r="C720" s="101"/>
      <c r="D720" s="107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1"/>
      <c r="B721" s="101"/>
      <c r="C721" s="101"/>
      <c r="D721" s="107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1"/>
      <c r="B722" s="101"/>
      <c r="C722" s="101"/>
      <c r="D722" s="107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1"/>
      <c r="B723" s="101"/>
      <c r="C723" s="101"/>
      <c r="D723" s="107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1"/>
      <c r="B724" s="101"/>
      <c r="C724" s="101"/>
      <c r="D724" s="107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1"/>
      <c r="B725" s="101"/>
      <c r="C725" s="101"/>
      <c r="D725" s="107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1"/>
      <c r="B726" s="101"/>
      <c r="C726" s="101"/>
      <c r="D726" s="107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1"/>
      <c r="B727" s="101"/>
      <c r="C727" s="101"/>
      <c r="D727" s="107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1"/>
      <c r="B728" s="101"/>
      <c r="C728" s="101"/>
      <c r="D728" s="107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1"/>
      <c r="B729" s="101"/>
      <c r="C729" s="101"/>
      <c r="D729" s="107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1"/>
      <c r="B730" s="101"/>
      <c r="C730" s="101"/>
      <c r="D730" s="107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1"/>
      <c r="B731" s="101"/>
      <c r="C731" s="101"/>
      <c r="D731" s="107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1"/>
      <c r="B732" s="101"/>
      <c r="C732" s="101"/>
      <c r="D732" s="107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1"/>
      <c r="B733" s="101"/>
      <c r="C733" s="101"/>
      <c r="D733" s="107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1"/>
      <c r="B734" s="101"/>
      <c r="C734" s="101"/>
      <c r="D734" s="107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1"/>
      <c r="B735" s="101"/>
      <c r="C735" s="101"/>
      <c r="D735" s="107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1"/>
      <c r="B736" s="101"/>
      <c r="C736" s="101"/>
      <c r="D736" s="107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1"/>
      <c r="B737" s="101"/>
      <c r="C737" s="101"/>
      <c r="D737" s="107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1"/>
      <c r="B738" s="101"/>
      <c r="C738" s="101"/>
      <c r="D738" s="107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1"/>
      <c r="B739" s="101"/>
      <c r="C739" s="101"/>
      <c r="D739" s="107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1"/>
      <c r="B740" s="101"/>
      <c r="C740" s="101"/>
      <c r="D740" s="107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1"/>
      <c r="B741" s="101"/>
      <c r="C741" s="101"/>
      <c r="D741" s="107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1"/>
      <c r="B742" s="101"/>
      <c r="C742" s="101"/>
      <c r="D742" s="107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1"/>
      <c r="B743" s="101"/>
      <c r="C743" s="101"/>
      <c r="D743" s="107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1"/>
      <c r="B744" s="101"/>
      <c r="C744" s="101"/>
      <c r="D744" s="107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1"/>
      <c r="B745" s="101"/>
      <c r="C745" s="101"/>
      <c r="D745" s="107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1"/>
      <c r="B746" s="101"/>
      <c r="C746" s="101"/>
      <c r="D746" s="107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1"/>
      <c r="B747" s="101"/>
      <c r="C747" s="101"/>
      <c r="D747" s="107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1"/>
      <c r="B748" s="101"/>
      <c r="C748" s="101"/>
      <c r="D748" s="107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1"/>
      <c r="B749" s="101"/>
      <c r="C749" s="101"/>
      <c r="D749" s="107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1"/>
      <c r="B750" s="101"/>
      <c r="C750" s="101"/>
      <c r="D750" s="107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1"/>
      <c r="B751" s="101"/>
      <c r="C751" s="101"/>
      <c r="D751" s="107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1"/>
      <c r="B752" s="101"/>
      <c r="C752" s="101"/>
      <c r="D752" s="107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1"/>
      <c r="B753" s="101"/>
      <c r="C753" s="101"/>
      <c r="D753" s="107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1"/>
      <c r="B754" s="101"/>
      <c r="C754" s="101"/>
      <c r="D754" s="107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1"/>
      <c r="B755" s="101"/>
      <c r="C755" s="101"/>
      <c r="D755" s="107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1"/>
      <c r="B756" s="101"/>
      <c r="C756" s="101"/>
      <c r="D756" s="107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1"/>
      <c r="B757" s="101"/>
      <c r="C757" s="101"/>
      <c r="D757" s="107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1"/>
      <c r="B758" s="101"/>
      <c r="C758" s="101"/>
      <c r="D758" s="107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1"/>
      <c r="B759" s="101"/>
      <c r="C759" s="101"/>
      <c r="D759" s="107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1"/>
      <c r="B760" s="101"/>
      <c r="C760" s="101"/>
      <c r="D760" s="107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1"/>
      <c r="B761" s="101"/>
      <c r="C761" s="101"/>
      <c r="D761" s="107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1"/>
      <c r="B762" s="101"/>
      <c r="C762" s="101"/>
      <c r="D762" s="107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1"/>
      <c r="B763" s="101"/>
      <c r="C763" s="101"/>
      <c r="D763" s="107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1"/>
      <c r="B764" s="101"/>
      <c r="C764" s="101"/>
      <c r="D764" s="107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1"/>
      <c r="B765" s="101"/>
      <c r="C765" s="101"/>
      <c r="D765" s="107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1"/>
      <c r="B766" s="101"/>
      <c r="C766" s="101"/>
      <c r="D766" s="107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1"/>
      <c r="B767" s="101"/>
      <c r="C767" s="101"/>
      <c r="D767" s="107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1"/>
      <c r="B768" s="101"/>
      <c r="C768" s="101"/>
      <c r="D768" s="107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1"/>
      <c r="B769" s="101"/>
      <c r="C769" s="101"/>
      <c r="D769" s="107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1"/>
      <c r="B770" s="101"/>
      <c r="C770" s="101"/>
      <c r="D770" s="107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1"/>
      <c r="B771" s="101"/>
      <c r="C771" s="101"/>
      <c r="D771" s="107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1"/>
      <c r="B772" s="101"/>
      <c r="C772" s="101"/>
      <c r="D772" s="107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1"/>
      <c r="B773" s="101"/>
      <c r="C773" s="101"/>
      <c r="D773" s="107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1"/>
      <c r="B774" s="101"/>
      <c r="C774" s="101"/>
      <c r="D774" s="107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1"/>
      <c r="B775" s="101"/>
      <c r="C775" s="101"/>
      <c r="D775" s="107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1"/>
      <c r="B776" s="101"/>
      <c r="C776" s="101"/>
      <c r="D776" s="107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1"/>
      <c r="B777" s="101"/>
      <c r="C777" s="101"/>
      <c r="D777" s="107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1"/>
      <c r="B778" s="101"/>
      <c r="C778" s="101"/>
      <c r="D778" s="107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1"/>
      <c r="B779" s="101"/>
      <c r="C779" s="101"/>
      <c r="D779" s="107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1"/>
      <c r="B780" s="101"/>
      <c r="C780" s="101"/>
      <c r="D780" s="107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1"/>
      <c r="B781" s="101"/>
      <c r="C781" s="101"/>
      <c r="D781" s="107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1"/>
      <c r="B782" s="101"/>
      <c r="C782" s="101"/>
      <c r="D782" s="107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1"/>
      <c r="B783" s="101"/>
      <c r="C783" s="101"/>
      <c r="D783" s="107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1"/>
      <c r="B784" s="101"/>
      <c r="C784" s="101"/>
      <c r="D784" s="107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1"/>
      <c r="B785" s="101"/>
      <c r="C785" s="101"/>
      <c r="D785" s="107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1"/>
      <c r="B786" s="101"/>
      <c r="C786" s="101"/>
      <c r="D786" s="107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1"/>
      <c r="B787" s="101"/>
      <c r="C787" s="101"/>
      <c r="D787" s="107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1"/>
      <c r="B788" s="101"/>
      <c r="C788" s="101"/>
      <c r="D788" s="107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1"/>
      <c r="B789" s="101"/>
      <c r="C789" s="101"/>
      <c r="D789" s="107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1"/>
      <c r="B790" s="101"/>
      <c r="C790" s="101"/>
      <c r="D790" s="107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1"/>
      <c r="B791" s="101"/>
      <c r="C791" s="101"/>
      <c r="D791" s="107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1"/>
      <c r="B792" s="101"/>
      <c r="C792" s="101"/>
      <c r="D792" s="107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1"/>
      <c r="B793" s="101"/>
      <c r="C793" s="101"/>
      <c r="D793" s="107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1"/>
      <c r="B794" s="101"/>
      <c r="C794" s="101"/>
      <c r="D794" s="107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1"/>
      <c r="B795" s="101"/>
      <c r="C795" s="101"/>
      <c r="D795" s="107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1"/>
      <c r="B796" s="101"/>
      <c r="C796" s="101"/>
      <c r="D796" s="107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1"/>
      <c r="B797" s="101"/>
      <c r="C797" s="101"/>
      <c r="D797" s="107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1"/>
      <c r="B798" s="101"/>
      <c r="C798" s="101"/>
      <c r="D798" s="107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1"/>
      <c r="B799" s="101"/>
      <c r="C799" s="101"/>
      <c r="D799" s="107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1"/>
      <c r="B800" s="101"/>
      <c r="C800" s="101"/>
      <c r="D800" s="107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1"/>
      <c r="B801" s="101"/>
      <c r="C801" s="101"/>
      <c r="D801" s="107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1"/>
      <c r="B802" s="101"/>
      <c r="C802" s="101"/>
      <c r="D802" s="107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1"/>
      <c r="B803" s="101"/>
      <c r="C803" s="101"/>
      <c r="D803" s="107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1"/>
      <c r="B804" s="101"/>
      <c r="C804" s="101"/>
      <c r="D804" s="107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1"/>
      <c r="B805" s="101"/>
      <c r="C805" s="101"/>
      <c r="D805" s="107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1"/>
      <c r="B806" s="101"/>
      <c r="C806" s="101"/>
      <c r="D806" s="107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1"/>
      <c r="B807" s="101"/>
      <c r="C807" s="101"/>
      <c r="D807" s="107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1"/>
      <c r="B808" s="101"/>
      <c r="C808" s="101"/>
      <c r="D808" s="107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1"/>
      <c r="B809" s="101"/>
      <c r="C809" s="101"/>
      <c r="D809" s="107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1"/>
      <c r="B810" s="101"/>
      <c r="C810" s="101"/>
      <c r="D810" s="107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1"/>
      <c r="B811" s="101"/>
      <c r="C811" s="101"/>
      <c r="D811" s="107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1"/>
      <c r="B812" s="101"/>
      <c r="C812" s="101"/>
      <c r="D812" s="107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1"/>
      <c r="B813" s="101"/>
      <c r="C813" s="101"/>
      <c r="D813" s="107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1"/>
      <c r="B814" s="101"/>
      <c r="C814" s="101"/>
      <c r="D814" s="107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1"/>
      <c r="B815" s="101"/>
      <c r="C815" s="101"/>
      <c r="D815" s="107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1"/>
      <c r="B816" s="101"/>
      <c r="C816" s="101"/>
      <c r="D816" s="107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1"/>
      <c r="B817" s="101"/>
      <c r="C817" s="101"/>
      <c r="D817" s="107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1"/>
      <c r="B818" s="101"/>
      <c r="C818" s="101"/>
      <c r="D818" s="107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1"/>
      <c r="B819" s="101"/>
      <c r="C819" s="101"/>
      <c r="D819" s="107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1"/>
      <c r="B820" s="101"/>
      <c r="C820" s="101"/>
      <c r="D820" s="107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1"/>
      <c r="B821" s="101"/>
      <c r="C821" s="101"/>
      <c r="D821" s="107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1"/>
      <c r="B822" s="101"/>
      <c r="C822" s="101"/>
      <c r="D822" s="107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1"/>
      <c r="B823" s="101"/>
      <c r="C823" s="101"/>
      <c r="D823" s="107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1"/>
      <c r="B824" s="101"/>
      <c r="C824" s="101"/>
      <c r="D824" s="107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1"/>
      <c r="B825" s="101"/>
      <c r="C825" s="101"/>
      <c r="D825" s="107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1"/>
      <c r="B826" s="101"/>
      <c r="C826" s="101"/>
      <c r="D826" s="107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1"/>
      <c r="B827" s="101"/>
      <c r="C827" s="101"/>
      <c r="D827" s="107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1"/>
      <c r="B828" s="101"/>
      <c r="C828" s="101"/>
      <c r="D828" s="107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1"/>
      <c r="B829" s="101"/>
      <c r="C829" s="101"/>
      <c r="D829" s="107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1"/>
      <c r="B830" s="101"/>
      <c r="C830" s="101"/>
      <c r="D830" s="107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1"/>
      <c r="B831" s="101"/>
      <c r="C831" s="101"/>
      <c r="D831" s="107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1"/>
      <c r="B832" s="101"/>
      <c r="C832" s="101"/>
      <c r="D832" s="107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1"/>
      <c r="B833" s="101"/>
      <c r="C833" s="101"/>
      <c r="D833" s="107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1"/>
      <c r="B834" s="101"/>
      <c r="C834" s="101"/>
      <c r="D834" s="107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1"/>
      <c r="B835" s="101"/>
      <c r="C835" s="101"/>
      <c r="D835" s="107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1"/>
      <c r="B836" s="101"/>
      <c r="C836" s="101"/>
      <c r="D836" s="107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1"/>
      <c r="B837" s="101"/>
      <c r="C837" s="101"/>
      <c r="D837" s="107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1"/>
      <c r="B838" s="101"/>
      <c r="C838" s="101"/>
      <c r="D838" s="107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1"/>
      <c r="B839" s="101"/>
      <c r="C839" s="101"/>
      <c r="D839" s="107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1"/>
      <c r="B840" s="101"/>
      <c r="C840" s="101"/>
      <c r="D840" s="107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1"/>
      <c r="B841" s="101"/>
      <c r="C841" s="101"/>
      <c r="D841" s="107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1"/>
      <c r="B842" s="101"/>
      <c r="C842" s="101"/>
      <c r="D842" s="107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1"/>
      <c r="B843" s="101"/>
      <c r="C843" s="101"/>
      <c r="D843" s="107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1"/>
      <c r="B844" s="101"/>
      <c r="C844" s="101"/>
      <c r="D844" s="107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1"/>
      <c r="B845" s="101"/>
      <c r="C845" s="101"/>
      <c r="D845" s="107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1"/>
      <c r="B846" s="101"/>
      <c r="C846" s="101"/>
      <c r="D846" s="107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1"/>
      <c r="B847" s="101"/>
      <c r="C847" s="101"/>
      <c r="D847" s="107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1"/>
      <c r="B848" s="101"/>
      <c r="C848" s="101"/>
      <c r="D848" s="107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1"/>
      <c r="B849" s="101"/>
      <c r="C849" s="101"/>
      <c r="D849" s="107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1"/>
      <c r="B850" s="101"/>
      <c r="C850" s="101"/>
      <c r="D850" s="107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1"/>
      <c r="B851" s="101"/>
      <c r="C851" s="101"/>
      <c r="D851" s="107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1"/>
      <c r="B852" s="101"/>
      <c r="C852" s="101"/>
      <c r="D852" s="107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1"/>
      <c r="B853" s="101"/>
      <c r="C853" s="101"/>
      <c r="D853" s="107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1"/>
      <c r="B854" s="101"/>
      <c r="C854" s="101"/>
      <c r="D854" s="107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1"/>
      <c r="B855" s="101"/>
      <c r="C855" s="101"/>
      <c r="D855" s="107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1"/>
      <c r="B856" s="101"/>
      <c r="C856" s="101"/>
      <c r="D856" s="107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1"/>
      <c r="B857" s="101"/>
      <c r="C857" s="101"/>
      <c r="D857" s="107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1"/>
      <c r="B858" s="101"/>
      <c r="C858" s="101"/>
      <c r="D858" s="107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1"/>
      <c r="B859" s="101"/>
      <c r="C859" s="101"/>
      <c r="D859" s="107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1"/>
      <c r="B860" s="101"/>
      <c r="C860" s="101"/>
      <c r="D860" s="107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1"/>
      <c r="B861" s="101"/>
      <c r="C861" s="101"/>
      <c r="D861" s="107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1"/>
      <c r="B862" s="101"/>
      <c r="C862" s="101"/>
      <c r="D862" s="107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1"/>
      <c r="B863" s="101"/>
      <c r="C863" s="101"/>
      <c r="D863" s="107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1"/>
      <c r="B864" s="101"/>
      <c r="C864" s="101"/>
      <c r="D864" s="107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1"/>
      <c r="B865" s="101"/>
      <c r="C865" s="101"/>
      <c r="D865" s="107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1"/>
      <c r="B866" s="101"/>
      <c r="C866" s="101"/>
      <c r="D866" s="107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1"/>
      <c r="B867" s="101"/>
      <c r="C867" s="101"/>
      <c r="D867" s="107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1"/>
      <c r="B868" s="101"/>
      <c r="C868" s="101"/>
      <c r="D868" s="107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1"/>
      <c r="B869" s="101"/>
      <c r="C869" s="101"/>
      <c r="D869" s="107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1"/>
      <c r="B870" s="101"/>
      <c r="C870" s="101"/>
      <c r="D870" s="107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1"/>
      <c r="B871" s="101"/>
      <c r="C871" s="101"/>
      <c r="D871" s="107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1"/>
      <c r="B872" s="101"/>
      <c r="C872" s="101"/>
      <c r="D872" s="107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1"/>
      <c r="B873" s="101"/>
      <c r="C873" s="101"/>
      <c r="D873" s="107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1"/>
      <c r="B874" s="101"/>
      <c r="C874" s="101"/>
      <c r="D874" s="107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1"/>
      <c r="B875" s="101"/>
      <c r="C875" s="101"/>
      <c r="D875" s="107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1"/>
      <c r="B876" s="101"/>
      <c r="C876" s="101"/>
      <c r="D876" s="107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1"/>
      <c r="B877" s="101"/>
      <c r="C877" s="101"/>
      <c r="D877" s="107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1"/>
      <c r="B878" s="101"/>
      <c r="C878" s="101"/>
      <c r="D878" s="107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1"/>
      <c r="B879" s="101"/>
      <c r="C879" s="101"/>
      <c r="D879" s="107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1"/>
      <c r="B880" s="101"/>
      <c r="C880" s="101"/>
      <c r="D880" s="107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1"/>
      <c r="B881" s="101"/>
      <c r="C881" s="101"/>
      <c r="D881" s="107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1"/>
      <c r="B882" s="101"/>
      <c r="C882" s="101"/>
      <c r="D882" s="107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1"/>
      <c r="B883" s="101"/>
      <c r="C883" s="101"/>
      <c r="D883" s="107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1"/>
      <c r="B884" s="101"/>
      <c r="C884" s="101"/>
      <c r="D884" s="107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1"/>
      <c r="B885" s="101"/>
      <c r="C885" s="101"/>
      <c r="D885" s="107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1"/>
      <c r="B886" s="101"/>
      <c r="C886" s="101"/>
      <c r="D886" s="107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1"/>
      <c r="B887" s="101"/>
      <c r="C887" s="101"/>
      <c r="D887" s="107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1"/>
      <c r="B888" s="101"/>
      <c r="C888" s="101"/>
      <c r="D888" s="107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1"/>
      <c r="B889" s="101"/>
      <c r="C889" s="101"/>
      <c r="D889" s="107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1"/>
      <c r="B890" s="101"/>
      <c r="C890" s="101"/>
      <c r="D890" s="107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1"/>
      <c r="B891" s="101"/>
      <c r="C891" s="101"/>
      <c r="D891" s="107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1"/>
      <c r="B892" s="101"/>
      <c r="C892" s="101"/>
      <c r="D892" s="107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1"/>
      <c r="B893" s="101"/>
      <c r="C893" s="101"/>
      <c r="D893" s="107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1"/>
      <c r="B894" s="101"/>
      <c r="C894" s="101"/>
      <c r="D894" s="107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1"/>
      <c r="B895" s="101"/>
      <c r="C895" s="101"/>
      <c r="D895" s="107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1"/>
      <c r="B896" s="101"/>
      <c r="C896" s="101"/>
      <c r="D896" s="107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1"/>
      <c r="B897" s="101"/>
      <c r="C897" s="101"/>
      <c r="D897" s="107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1"/>
      <c r="B898" s="101"/>
      <c r="C898" s="101"/>
      <c r="D898" s="107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1"/>
      <c r="B899" s="101"/>
      <c r="C899" s="101"/>
      <c r="D899" s="107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1"/>
      <c r="B900" s="101"/>
      <c r="C900" s="101"/>
      <c r="D900" s="107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1"/>
      <c r="B901" s="101"/>
      <c r="C901" s="101"/>
      <c r="D901" s="107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1"/>
      <c r="B902" s="101"/>
      <c r="C902" s="101"/>
      <c r="D902" s="107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1"/>
      <c r="B903" s="101"/>
      <c r="C903" s="101"/>
      <c r="D903" s="107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1"/>
      <c r="B904" s="101"/>
      <c r="C904" s="101"/>
      <c r="D904" s="107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1"/>
      <c r="B905" s="101"/>
      <c r="C905" s="101"/>
      <c r="D905" s="107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1"/>
      <c r="B906" s="101"/>
      <c r="C906" s="101"/>
      <c r="D906" s="107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1"/>
      <c r="B907" s="101"/>
      <c r="C907" s="101"/>
      <c r="D907" s="107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1"/>
      <c r="B908" s="101"/>
      <c r="C908" s="101"/>
      <c r="D908" s="107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1"/>
      <c r="B909" s="101"/>
      <c r="C909" s="101"/>
      <c r="D909" s="107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1"/>
      <c r="B910" s="101"/>
      <c r="C910" s="101"/>
      <c r="D910" s="107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1"/>
      <c r="B911" s="101"/>
      <c r="C911" s="101"/>
      <c r="D911" s="107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1"/>
      <c r="B912" s="101"/>
      <c r="C912" s="101"/>
      <c r="D912" s="107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1"/>
      <c r="B913" s="101"/>
      <c r="C913" s="101"/>
      <c r="D913" s="107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1"/>
      <c r="B914" s="101"/>
      <c r="C914" s="101"/>
      <c r="D914" s="107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1"/>
      <c r="B915" s="101"/>
      <c r="C915" s="101"/>
      <c r="D915" s="107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1"/>
      <c r="B916" s="101"/>
      <c r="C916" s="101"/>
      <c r="D916" s="107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1"/>
      <c r="B917" s="101"/>
      <c r="C917" s="101"/>
      <c r="D917" s="107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1"/>
      <c r="B918" s="101"/>
      <c r="C918" s="101"/>
      <c r="D918" s="107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1"/>
      <c r="B919" s="101"/>
      <c r="C919" s="101"/>
      <c r="D919" s="107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1"/>
      <c r="B920" s="101"/>
      <c r="C920" s="101"/>
      <c r="D920" s="107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1"/>
      <c r="B921" s="101"/>
      <c r="C921" s="101"/>
      <c r="D921" s="107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B922" s="101"/>
      <c r="C922" s="101"/>
      <c r="D922" s="107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B923" s="101"/>
      <c r="C923" s="101"/>
      <c r="D923" s="107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B924" s="101"/>
      <c r="C924" s="101"/>
      <c r="D924" s="107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B925" s="101"/>
      <c r="C925" s="101"/>
      <c r="D925" s="107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B926" s="101"/>
      <c r="C926" s="101"/>
      <c r="D926" s="107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B927" s="101"/>
      <c r="C927" s="101"/>
      <c r="D927" s="107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B928" s="101"/>
      <c r="C928" s="101"/>
      <c r="D928" s="107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B929" s="101"/>
      <c r="C929" s="101"/>
      <c r="D929" s="107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B930" s="101"/>
      <c r="C930" s="101"/>
      <c r="D930" s="107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B931" s="101"/>
      <c r="C931" s="101"/>
      <c r="D931" s="107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B932" s="101"/>
      <c r="C932" s="101"/>
      <c r="D932" s="107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B933" s="101"/>
      <c r="C933" s="101"/>
      <c r="D933" s="107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B934" s="101"/>
      <c r="C934" s="101"/>
      <c r="D934" s="107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B935" s="101"/>
      <c r="C935" s="101"/>
      <c r="D935" s="107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B936" s="101"/>
      <c r="C936" s="101"/>
      <c r="D936" s="107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B937" s="101"/>
      <c r="C937" s="101"/>
      <c r="D937" s="107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B938" s="101"/>
      <c r="C938" s="101"/>
      <c r="D938" s="107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B939" s="101"/>
      <c r="C939" s="101"/>
      <c r="D939" s="107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B940" s="101"/>
      <c r="C940" s="101"/>
      <c r="D940" s="107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B941" s="101"/>
      <c r="C941" s="101"/>
      <c r="D941" s="107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B942" s="101"/>
      <c r="C942" s="101"/>
      <c r="D942" s="107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B943" s="101"/>
      <c r="C943" s="101"/>
      <c r="D943" s="107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B944" s="101"/>
      <c r="C944" s="101"/>
      <c r="D944" s="107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B945" s="101"/>
      <c r="C945" s="101"/>
      <c r="D945" s="107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B946" s="101"/>
      <c r="C946" s="101"/>
      <c r="D946" s="107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B947" s="101"/>
      <c r="C947" s="101"/>
      <c r="D947" s="107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B948" s="101"/>
      <c r="C948" s="101"/>
      <c r="D948" s="107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B949" s="101"/>
      <c r="C949" s="101"/>
      <c r="D949" s="107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B950" s="101"/>
      <c r="C950" s="101"/>
      <c r="D950" s="107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B951" s="101"/>
      <c r="C951" s="101"/>
      <c r="D951" s="107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B952" s="101"/>
      <c r="C952" s="101"/>
      <c r="D952" s="107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B953" s="101"/>
      <c r="C953" s="101"/>
      <c r="D953" s="107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B954" s="101"/>
      <c r="C954" s="101"/>
      <c r="D954" s="107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B955" s="101"/>
      <c r="C955" s="101"/>
      <c r="D955" s="107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B956" s="101"/>
      <c r="C956" s="101"/>
      <c r="D956" s="107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B957" s="101"/>
      <c r="C957" s="101"/>
      <c r="D957" s="107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B958" s="101"/>
      <c r="C958" s="101"/>
      <c r="D958" s="107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B959" s="101"/>
      <c r="C959" s="101"/>
      <c r="D959" s="107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B960" s="101"/>
      <c r="C960" s="101"/>
      <c r="D960" s="107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B961" s="101"/>
      <c r="C961" s="101"/>
      <c r="D961" s="107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B962" s="101"/>
      <c r="C962" s="101"/>
      <c r="D962" s="107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B963" s="101"/>
      <c r="C963" s="101"/>
      <c r="D963" s="107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B964" s="101"/>
      <c r="C964" s="101"/>
      <c r="D964" s="107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B965" s="101"/>
      <c r="C965" s="101"/>
      <c r="D965" s="107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B966" s="101"/>
      <c r="C966" s="101"/>
      <c r="D966" s="107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B967" s="101"/>
      <c r="C967" s="101"/>
      <c r="D967" s="107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B968" s="101"/>
      <c r="C968" s="101"/>
      <c r="D968" s="107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B969" s="101"/>
      <c r="C969" s="101"/>
      <c r="D969" s="107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B970" s="101"/>
      <c r="C970" s="101"/>
      <c r="D970" s="107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B971" s="101"/>
      <c r="C971" s="101"/>
      <c r="D971" s="107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B972" s="101"/>
      <c r="C972" s="101"/>
      <c r="D972" s="107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B973" s="101"/>
      <c r="C973" s="101"/>
      <c r="D973" s="107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B974" s="101"/>
      <c r="C974" s="101"/>
      <c r="D974" s="107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B975" s="101"/>
      <c r="C975" s="101"/>
      <c r="D975" s="107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B976" s="101"/>
      <c r="C976" s="101"/>
      <c r="D976" s="107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B977" s="101"/>
      <c r="C977" s="101"/>
      <c r="D977" s="107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B978" s="101"/>
      <c r="C978" s="101"/>
      <c r="D978" s="107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B979" s="101"/>
      <c r="C979" s="101"/>
      <c r="D979" s="107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B980" s="101"/>
      <c r="C980" s="101"/>
      <c r="D980" s="107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B981" s="101"/>
      <c r="C981" s="101"/>
      <c r="D981" s="107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B982" s="101"/>
      <c r="C982" s="101"/>
      <c r="D982" s="107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B983" s="101"/>
      <c r="C983" s="101"/>
      <c r="D983" s="107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B984" s="101"/>
      <c r="C984" s="101"/>
      <c r="D984" s="107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B985" s="101"/>
      <c r="C985" s="101"/>
      <c r="D985" s="107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B986" s="101"/>
      <c r="C986" s="101"/>
      <c r="D986" s="107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B987" s="101"/>
      <c r="C987" s="101"/>
      <c r="D987" s="107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B988" s="101"/>
      <c r="C988" s="101"/>
      <c r="D988" s="107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B989" s="101"/>
      <c r="C989" s="101"/>
      <c r="D989" s="107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B990" s="101"/>
      <c r="C990" s="101"/>
      <c r="D990" s="107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B991" s="101"/>
      <c r="C991" s="101"/>
      <c r="D991" s="107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B992" s="101"/>
      <c r="C992" s="101"/>
      <c r="D992" s="107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B993" s="101"/>
      <c r="C993" s="101"/>
      <c r="D993" s="107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B994" s="101"/>
      <c r="C994" s="101"/>
      <c r="D994" s="107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B995" s="101"/>
      <c r="C995" s="101"/>
      <c r="D995" s="107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B996" s="101"/>
      <c r="C996" s="101"/>
      <c r="D996" s="107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B997" s="101"/>
      <c r="C997" s="101"/>
      <c r="D997" s="107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1"/>
      <c r="B998" s="101"/>
      <c r="C998" s="101"/>
      <c r="D998" s="107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>
      <c r="A999" s="101"/>
      <c r="B999" s="101"/>
      <c r="C999" s="101"/>
      <c r="D999" s="107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>
      <c r="A1000" s="101"/>
      <c r="B1000" s="101"/>
      <c r="C1000" s="101"/>
      <c r="D1000" s="107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  <row r="1001">
      <c r="A1001" s="101"/>
      <c r="B1001" s="101"/>
      <c r="C1001" s="101"/>
      <c r="D1001" s="107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</row>
    <row r="1002">
      <c r="A1002" s="101"/>
      <c r="B1002" s="101"/>
      <c r="C1002" s="101"/>
      <c r="D1002" s="107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</row>
    <row r="1003">
      <c r="A1003" s="101"/>
      <c r="B1003" s="101"/>
      <c r="C1003" s="101"/>
      <c r="D1003" s="107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</row>
    <row r="1004">
      <c r="A1004" s="101"/>
      <c r="B1004" s="101"/>
      <c r="C1004" s="101"/>
      <c r="D1004" s="107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</row>
    <row r="1005">
      <c r="A1005" s="101"/>
      <c r="B1005" s="101"/>
      <c r="C1005" s="101"/>
      <c r="D1005" s="107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</row>
    <row r="1006">
      <c r="A1006" s="101"/>
      <c r="B1006" s="101"/>
      <c r="C1006" s="101"/>
      <c r="D1006" s="107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  <c r="Z1006" s="101"/>
    </row>
  </sheetData>
  <mergeCells count="1">
    <mergeCell ref="D29:K30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4.75"/>
    <col customWidth="1" min="4" max="4" width="26.88"/>
    <col customWidth="1" min="5" max="5" width="14.25"/>
    <col customWidth="1" min="6" max="6" width="15.88"/>
    <col customWidth="1" min="7" max="7" width="8.25"/>
    <col customWidth="1" min="8" max="8" width="21.0"/>
    <col customWidth="1" min="9" max="9" width="9.75"/>
    <col customWidth="1" min="10" max="10" width="12.63"/>
    <col customWidth="1" min="11" max="11" width="11.0"/>
    <col customWidth="1" min="12" max="12" width="22.38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91" t="s">
        <v>6</v>
      </c>
      <c r="J1" s="15" t="s">
        <v>207</v>
      </c>
    </row>
    <row r="2">
      <c r="A2" s="1" t="s">
        <v>25</v>
      </c>
      <c r="B2" s="1" t="s">
        <v>386</v>
      </c>
      <c r="C2" s="1" t="s">
        <v>387</v>
      </c>
      <c r="D2" s="11">
        <v>100000.0</v>
      </c>
      <c r="F2" s="40"/>
      <c r="J2" s="93">
        <v>0.1</v>
      </c>
    </row>
    <row r="3">
      <c r="A3" s="15" t="s">
        <v>23</v>
      </c>
      <c r="B3" s="20"/>
      <c r="C3" s="20"/>
      <c r="D3" s="19"/>
      <c r="E3" s="15" t="s">
        <v>18</v>
      </c>
      <c r="F3" s="15">
        <v>10000.0</v>
      </c>
    </row>
    <row r="4">
      <c r="A4" s="15" t="s">
        <v>23</v>
      </c>
      <c r="B4" s="20"/>
      <c r="C4" s="20"/>
      <c r="D4" s="19"/>
      <c r="E4" s="15" t="s">
        <v>293</v>
      </c>
      <c r="F4" s="15">
        <v>10000.0</v>
      </c>
    </row>
    <row r="5">
      <c r="A5" s="15" t="s">
        <v>23</v>
      </c>
      <c r="B5" s="20"/>
      <c r="C5" s="20"/>
      <c r="D5" s="19"/>
      <c r="E5" s="15" t="s">
        <v>222</v>
      </c>
      <c r="F5" s="15">
        <v>10000.0</v>
      </c>
    </row>
    <row r="6">
      <c r="A6" s="15" t="s">
        <v>23</v>
      </c>
      <c r="B6" s="20"/>
      <c r="C6" s="20"/>
      <c r="D6" s="19"/>
      <c r="E6" s="15" t="s">
        <v>389</v>
      </c>
      <c r="F6" s="15">
        <v>10000.0</v>
      </c>
    </row>
    <row r="7">
      <c r="A7" s="15" t="s">
        <v>23</v>
      </c>
      <c r="B7" s="20"/>
      <c r="C7" s="20"/>
      <c r="D7" s="19"/>
      <c r="E7" s="15" t="s">
        <v>16</v>
      </c>
      <c r="F7" s="15">
        <v>10000.0</v>
      </c>
      <c r="G7" s="20"/>
      <c r="H7" s="20"/>
      <c r="I7" s="20"/>
      <c r="J7" s="20"/>
      <c r="K7" s="20"/>
      <c r="L7" s="20"/>
      <c r="M7" s="20"/>
    </row>
    <row r="8">
      <c r="D8" s="14"/>
    </row>
    <row r="9">
      <c r="D9" s="14"/>
    </row>
    <row r="10">
      <c r="D10" s="14"/>
    </row>
    <row r="11">
      <c r="D11" s="14"/>
    </row>
    <row r="12">
      <c r="D12" s="14"/>
    </row>
    <row r="13">
      <c r="D13" s="14"/>
      <c r="L13" s="1" t="s">
        <v>392</v>
      </c>
    </row>
    <row r="14">
      <c r="D14" s="14">
        <f>SUM(D2:D10)</f>
        <v>100000</v>
      </c>
      <c r="F14" s="14">
        <f>SUM(F2:F10)</f>
        <v>50000</v>
      </c>
      <c r="H14" s="82">
        <f>F14/D14</f>
        <v>0.5</v>
      </c>
      <c r="L14" s="17">
        <f>(D14-F14)*1.5/100</f>
        <v>750</v>
      </c>
    </row>
    <row r="15">
      <c r="D15" s="14"/>
      <c r="L15" s="17">
        <f t="shared" ref="L15:L16" si="1">L14</f>
        <v>750</v>
      </c>
    </row>
    <row r="16">
      <c r="D16" s="14"/>
      <c r="L16" s="17">
        <f t="shared" si="1"/>
        <v>750</v>
      </c>
    </row>
    <row r="17">
      <c r="D17" s="14"/>
    </row>
    <row r="18">
      <c r="D18" s="14"/>
    </row>
    <row r="19">
      <c r="D19" s="22" t="s">
        <v>41</v>
      </c>
      <c r="E19" s="23"/>
      <c r="F19" s="23"/>
      <c r="G19" s="23"/>
      <c r="H19" s="23"/>
      <c r="I19" s="23"/>
      <c r="J19" s="23"/>
      <c r="K19" s="24"/>
    </row>
    <row r="20">
      <c r="D20" s="27"/>
      <c r="E20" s="28"/>
      <c r="F20" s="28"/>
      <c r="G20" s="28"/>
      <c r="H20" s="28"/>
      <c r="I20" s="28"/>
      <c r="J20" s="28"/>
      <c r="K20" s="29"/>
    </row>
    <row r="21">
      <c r="D21" s="32"/>
      <c r="E21" s="32" t="s">
        <v>49</v>
      </c>
      <c r="F21" s="32" t="s">
        <v>51</v>
      </c>
      <c r="G21" s="32" t="s">
        <v>52</v>
      </c>
      <c r="H21" s="32"/>
      <c r="I21" s="32" t="s">
        <v>352</v>
      </c>
      <c r="J21" s="32" t="s">
        <v>56</v>
      </c>
      <c r="K21" s="32" t="s">
        <v>57</v>
      </c>
    </row>
    <row r="22">
      <c r="D22" s="1" t="s">
        <v>59</v>
      </c>
      <c r="E22" s="11">
        <f>D14</f>
        <v>100000</v>
      </c>
      <c r="F22" s="1">
        <v>1.5</v>
      </c>
      <c r="G22" s="38">
        <v>13.0</v>
      </c>
      <c r="I22" s="17">
        <f>E22*F22/100</f>
        <v>1500</v>
      </c>
      <c r="J22" s="17">
        <f>I22*G22</f>
        <v>19500</v>
      </c>
      <c r="K22" s="14">
        <f>E22+J22</f>
        <v>119500</v>
      </c>
    </row>
    <row r="23">
      <c r="E23" s="11"/>
      <c r="G23" s="38"/>
    </row>
    <row r="24">
      <c r="E24" s="11"/>
      <c r="G24" s="38"/>
    </row>
    <row r="25">
      <c r="E25" s="14"/>
      <c r="G25" s="40"/>
    </row>
    <row r="26">
      <c r="E26" s="14"/>
      <c r="G26" s="40"/>
      <c r="K26" s="19">
        <f>SUM(K22:K24)</f>
        <v>119500</v>
      </c>
    </row>
    <row r="27">
      <c r="E27" s="14"/>
      <c r="G27" s="40"/>
    </row>
    <row r="29">
      <c r="H29" s="39" t="s">
        <v>62</v>
      </c>
      <c r="I29" s="86"/>
      <c r="J29" s="112" t="str">
        <f>E15</f>
        <v/>
      </c>
      <c r="K29" s="87">
        <f>F14</f>
        <v>50000</v>
      </c>
    </row>
    <row r="30">
      <c r="H30" s="86"/>
      <c r="I30" s="86"/>
      <c r="J30" s="86"/>
      <c r="K30" s="86"/>
    </row>
    <row r="31">
      <c r="H31" s="39" t="s">
        <v>72</v>
      </c>
      <c r="I31" s="86"/>
      <c r="J31" s="114"/>
      <c r="K31" s="116">
        <f>K26-K29</f>
        <v>69500</v>
      </c>
    </row>
    <row r="32">
      <c r="H32" s="86"/>
      <c r="I32" s="86"/>
      <c r="J32" s="86"/>
      <c r="K32" s="86"/>
    </row>
  </sheetData>
  <mergeCells count="1">
    <mergeCell ref="D19:K20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4.75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91" t="s">
        <v>6</v>
      </c>
      <c r="J1" s="15" t="s">
        <v>207</v>
      </c>
    </row>
    <row r="2">
      <c r="A2" s="1" t="s">
        <v>25</v>
      </c>
      <c r="B2" s="1" t="s">
        <v>395</v>
      </c>
      <c r="C2" s="1" t="s">
        <v>396</v>
      </c>
      <c r="D2" s="11">
        <v>200000.0</v>
      </c>
      <c r="F2" s="40"/>
      <c r="J2" s="93">
        <v>0.3</v>
      </c>
    </row>
    <row r="3">
      <c r="A3" s="15" t="s">
        <v>23</v>
      </c>
      <c r="B3" s="20"/>
      <c r="C3" s="20"/>
      <c r="D3" s="19"/>
      <c r="E3" s="15" t="s">
        <v>34</v>
      </c>
      <c r="F3" s="15">
        <v>24000.0</v>
      </c>
    </row>
    <row r="4">
      <c r="A4" s="15" t="s">
        <v>23</v>
      </c>
      <c r="B4" s="20"/>
      <c r="C4" s="20"/>
      <c r="D4" s="19"/>
      <c r="E4" s="15" t="s">
        <v>339</v>
      </c>
      <c r="F4" s="15">
        <v>60000.0</v>
      </c>
    </row>
    <row r="5">
      <c r="A5" s="15" t="s">
        <v>23</v>
      </c>
      <c r="B5" s="20"/>
      <c r="C5" s="20"/>
      <c r="D5" s="19"/>
      <c r="E5" s="15" t="s">
        <v>397</v>
      </c>
      <c r="F5" s="15">
        <v>60000.0</v>
      </c>
    </row>
    <row r="6">
      <c r="A6" s="15" t="s">
        <v>23</v>
      </c>
      <c r="B6" s="20"/>
      <c r="C6" s="20"/>
      <c r="D6" s="19"/>
      <c r="E6" s="15" t="s">
        <v>398</v>
      </c>
      <c r="F6" s="15">
        <v>60000.0</v>
      </c>
    </row>
    <row r="7">
      <c r="A7" s="15" t="s">
        <v>23</v>
      </c>
      <c r="B7" s="20"/>
      <c r="C7" s="20"/>
      <c r="D7" s="19"/>
      <c r="E7" s="15" t="s">
        <v>399</v>
      </c>
      <c r="F7" s="15">
        <v>0.0</v>
      </c>
      <c r="G7" s="15">
        <v>60000.0</v>
      </c>
      <c r="H7" s="15" t="s">
        <v>400</v>
      </c>
      <c r="I7" s="20"/>
      <c r="J7" s="20"/>
      <c r="K7" s="20"/>
    </row>
    <row r="8">
      <c r="D8" s="14"/>
      <c r="E8" s="119">
        <v>45375.0</v>
      </c>
      <c r="G8" s="1">
        <v>0.0</v>
      </c>
      <c r="H8" s="1" t="s">
        <v>401</v>
      </c>
    </row>
    <row r="9">
      <c r="D9" s="14"/>
      <c r="E9" s="120" t="s">
        <v>402</v>
      </c>
      <c r="F9" s="1">
        <v>60000.0</v>
      </c>
    </row>
    <row r="10">
      <c r="D10" s="14"/>
      <c r="E10" s="119">
        <v>45436.0</v>
      </c>
      <c r="G10" s="1">
        <v>60000.0</v>
      </c>
      <c r="H10" s="1" t="s">
        <v>400</v>
      </c>
    </row>
    <row r="11">
      <c r="D11" s="14"/>
    </row>
    <row r="12">
      <c r="D12" s="14"/>
    </row>
    <row r="13">
      <c r="D13" s="14"/>
      <c r="H13" s="15" t="s">
        <v>26</v>
      </c>
      <c r="J13" s="16" t="s">
        <v>106</v>
      </c>
    </row>
    <row r="14">
      <c r="D14" s="14">
        <f>SUM(D2:D10)</f>
        <v>200000</v>
      </c>
      <c r="F14" s="14">
        <f>SUM(F2:F10)</f>
        <v>264000</v>
      </c>
      <c r="H14" s="18">
        <f>F14/D14</f>
        <v>1.32</v>
      </c>
      <c r="J14" s="59">
        <f>(D14)*5/100</f>
        <v>10000</v>
      </c>
      <c r="K14" s="1" t="s">
        <v>249</v>
      </c>
    </row>
    <row r="15">
      <c r="D15" s="14"/>
      <c r="J15" s="59">
        <f t="shared" ref="J15:J16" si="1">J14</f>
        <v>10000</v>
      </c>
      <c r="K15" s="1" t="s">
        <v>403</v>
      </c>
    </row>
    <row r="16">
      <c r="D16" s="14"/>
      <c r="J16" s="59">
        <f t="shared" si="1"/>
        <v>10000</v>
      </c>
      <c r="K16" s="1" t="s">
        <v>254</v>
      </c>
    </row>
    <row r="17">
      <c r="D17" s="14"/>
    </row>
    <row r="18">
      <c r="D18" s="14"/>
    </row>
    <row r="19">
      <c r="D19" s="22" t="s">
        <v>41</v>
      </c>
      <c r="E19" s="23"/>
      <c r="F19" s="23"/>
      <c r="G19" s="23"/>
      <c r="H19" s="23"/>
      <c r="I19" s="23"/>
      <c r="J19" s="23"/>
      <c r="K19" s="24"/>
    </row>
    <row r="20">
      <c r="D20" s="27"/>
      <c r="E20" s="28"/>
      <c r="F20" s="28"/>
      <c r="G20" s="28"/>
      <c r="H20" s="28"/>
      <c r="I20" s="28"/>
      <c r="J20" s="28"/>
      <c r="K20" s="29"/>
    </row>
    <row r="21">
      <c r="D21" s="32"/>
      <c r="E21" s="32" t="s">
        <v>49</v>
      </c>
      <c r="F21" s="32" t="s">
        <v>51</v>
      </c>
      <c r="G21" s="32" t="s">
        <v>52</v>
      </c>
      <c r="H21" s="32"/>
      <c r="I21" s="32" t="s">
        <v>352</v>
      </c>
      <c r="J21" s="32" t="s">
        <v>56</v>
      </c>
      <c r="K21" s="32" t="s">
        <v>57</v>
      </c>
    </row>
    <row r="22">
      <c r="D22" s="1" t="s">
        <v>59</v>
      </c>
      <c r="E22" s="11">
        <v>200000.0</v>
      </c>
      <c r="F22" s="1">
        <v>3.0</v>
      </c>
      <c r="G22" s="38">
        <v>7.0</v>
      </c>
      <c r="I22" s="17">
        <f>E22*F22/100</f>
        <v>6000</v>
      </c>
      <c r="J22" s="17">
        <f>I22*G22</f>
        <v>42000</v>
      </c>
      <c r="K22" s="14">
        <f>E22+J22</f>
        <v>242000</v>
      </c>
    </row>
    <row r="23">
      <c r="E23" s="11"/>
      <c r="G23" s="38"/>
    </row>
    <row r="24">
      <c r="E24" s="11"/>
      <c r="G24" s="38"/>
    </row>
    <row r="25">
      <c r="E25" s="14"/>
      <c r="G25" s="40"/>
    </row>
    <row r="26">
      <c r="E26" s="14"/>
      <c r="G26" s="40"/>
      <c r="K26" s="19">
        <f>SUM(K22:K24)</f>
        <v>242000</v>
      </c>
    </row>
    <row r="27">
      <c r="E27" s="14"/>
      <c r="G27" s="40"/>
    </row>
    <row r="28">
      <c r="I28" s="39" t="s">
        <v>62</v>
      </c>
      <c r="K28" s="19">
        <f>F14</f>
        <v>264000</v>
      </c>
    </row>
    <row r="30">
      <c r="I30" s="39" t="s">
        <v>72</v>
      </c>
      <c r="K30" s="60">
        <f>K26-K28</f>
        <v>-22000</v>
      </c>
      <c r="M30" s="47" t="s">
        <v>394</v>
      </c>
    </row>
    <row r="31">
      <c r="M31" s="12">
        <f>K30/3</f>
        <v>-7333.333333</v>
      </c>
      <c r="N31" s="15" t="s">
        <v>79</v>
      </c>
    </row>
    <row r="32">
      <c r="M32" s="12">
        <f t="shared" ref="M32:M33" si="2">M31</f>
        <v>-7333.333333</v>
      </c>
      <c r="N32" s="15" t="s">
        <v>82</v>
      </c>
    </row>
    <row r="33">
      <c r="M33" s="12">
        <f t="shared" si="2"/>
        <v>-7333.333333</v>
      </c>
      <c r="N33" s="15" t="s">
        <v>84</v>
      </c>
    </row>
  </sheetData>
  <mergeCells count="1">
    <mergeCell ref="D19:K20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49" t="s">
        <v>6</v>
      </c>
      <c r="J1" s="15" t="s">
        <v>207</v>
      </c>
      <c r="M1" s="13"/>
    </row>
    <row r="2">
      <c r="A2" s="1" t="s">
        <v>25</v>
      </c>
      <c r="B2" s="1" t="s">
        <v>404</v>
      </c>
      <c r="C2" s="1" t="s">
        <v>405</v>
      </c>
      <c r="D2" s="11">
        <v>50000.0</v>
      </c>
      <c r="J2" s="58">
        <v>0.12</v>
      </c>
      <c r="M2" s="13"/>
    </row>
    <row r="3">
      <c r="A3" s="1" t="s">
        <v>14</v>
      </c>
      <c r="D3" s="14"/>
      <c r="E3" s="1" t="s">
        <v>125</v>
      </c>
      <c r="F3" s="1">
        <v>6000.0</v>
      </c>
      <c r="J3" s="20"/>
      <c r="M3" s="13"/>
    </row>
    <row r="4">
      <c r="D4" s="14"/>
      <c r="E4" s="1" t="s">
        <v>229</v>
      </c>
      <c r="F4" s="1">
        <v>6000.0</v>
      </c>
      <c r="M4" s="13"/>
    </row>
    <row r="5">
      <c r="D5" s="14"/>
      <c r="E5" s="1" t="s">
        <v>135</v>
      </c>
      <c r="F5" s="1">
        <v>6000.0</v>
      </c>
      <c r="M5" s="13"/>
    </row>
    <row r="6">
      <c r="D6" s="14"/>
      <c r="E6" s="1" t="s">
        <v>406</v>
      </c>
      <c r="F6" s="1">
        <v>6000.0</v>
      </c>
      <c r="M6" s="13"/>
    </row>
    <row r="7">
      <c r="D7" s="14"/>
      <c r="E7" s="1" t="s">
        <v>407</v>
      </c>
      <c r="F7" s="1">
        <v>6000.0</v>
      </c>
      <c r="M7" s="13"/>
    </row>
    <row r="8">
      <c r="B8" s="1" t="s">
        <v>408</v>
      </c>
      <c r="C8" s="1" t="s">
        <v>405</v>
      </c>
      <c r="D8" s="11">
        <v>50000.0</v>
      </c>
      <c r="J8" s="58">
        <v>0.12</v>
      </c>
      <c r="M8" s="13"/>
    </row>
    <row r="9">
      <c r="D9" s="14"/>
      <c r="E9" s="1" t="s">
        <v>409</v>
      </c>
      <c r="F9" s="1">
        <v>7616.0</v>
      </c>
      <c r="M9" s="13"/>
    </row>
    <row r="10">
      <c r="D10" s="14"/>
      <c r="E10" s="1" t="s">
        <v>410</v>
      </c>
      <c r="F10" s="1">
        <v>11000.0</v>
      </c>
      <c r="M10" s="13"/>
    </row>
    <row r="11">
      <c r="D11" s="14"/>
      <c r="E11" s="1" t="s">
        <v>224</v>
      </c>
      <c r="F11" s="1">
        <v>11000.0</v>
      </c>
      <c r="M11" s="13"/>
    </row>
    <row r="12">
      <c r="D12" s="14"/>
      <c r="M12" s="13"/>
    </row>
    <row r="13">
      <c r="D13" s="14"/>
      <c r="M13" s="13"/>
    </row>
    <row r="14">
      <c r="D14" s="14"/>
      <c r="M14" s="13"/>
    </row>
    <row r="15">
      <c r="D15" s="14"/>
      <c r="M15" s="13"/>
    </row>
    <row r="16">
      <c r="D16" s="14"/>
      <c r="M16" s="13"/>
    </row>
    <row r="17">
      <c r="D17" s="19"/>
      <c r="E17" s="20"/>
      <c r="F17" s="20"/>
      <c r="G17" s="20"/>
      <c r="H17" s="15" t="s">
        <v>26</v>
      </c>
      <c r="J17" s="59" t="s">
        <v>106</v>
      </c>
      <c r="M17" s="13"/>
    </row>
    <row r="18">
      <c r="D18" s="19">
        <f>SUM(D1:D16)</f>
        <v>100000</v>
      </c>
      <c r="E18" s="20"/>
      <c r="F18" s="12">
        <f>SUM(F1:F16)</f>
        <v>59616</v>
      </c>
      <c r="G18" s="20"/>
      <c r="H18" s="18">
        <f>F18/D18</f>
        <v>0.59616</v>
      </c>
      <c r="J18" s="59">
        <f>(D18-F18)*5/100</f>
        <v>2019.2</v>
      </c>
      <c r="K18" s="1" t="s">
        <v>249</v>
      </c>
      <c r="M18" s="13"/>
    </row>
    <row r="19">
      <c r="D19" s="14"/>
      <c r="J19" s="59">
        <f t="shared" ref="J19:J20" si="1">J18</f>
        <v>2019.2</v>
      </c>
      <c r="K19" s="1" t="s">
        <v>403</v>
      </c>
      <c r="M19" s="13"/>
    </row>
    <row r="20">
      <c r="D20" s="14"/>
      <c r="J20" s="59">
        <f t="shared" si="1"/>
        <v>2019.2</v>
      </c>
      <c r="K20" s="1" t="s">
        <v>254</v>
      </c>
      <c r="M20" s="13"/>
    </row>
    <row r="21">
      <c r="D21" s="14"/>
      <c r="M21" s="13"/>
    </row>
    <row r="22">
      <c r="D22" s="14"/>
      <c r="M22" s="13"/>
    </row>
    <row r="23">
      <c r="D23" s="14"/>
      <c r="M23" s="13"/>
    </row>
    <row r="24">
      <c r="D24" s="14"/>
      <c r="M24" s="13"/>
    </row>
    <row r="25">
      <c r="D25" s="14"/>
      <c r="M25" s="13"/>
    </row>
    <row r="26">
      <c r="D26" s="121" t="s">
        <v>41</v>
      </c>
      <c r="E26" s="23"/>
      <c r="F26" s="23"/>
      <c r="G26" s="23"/>
      <c r="H26" s="23"/>
      <c r="I26" s="23"/>
      <c r="J26" s="23"/>
      <c r="K26" s="24"/>
      <c r="M26" s="13"/>
    </row>
    <row r="27">
      <c r="D27" s="27"/>
      <c r="E27" s="28"/>
      <c r="F27" s="28"/>
      <c r="G27" s="28"/>
      <c r="H27" s="28"/>
      <c r="I27" s="28"/>
      <c r="J27" s="28"/>
      <c r="K27" s="29"/>
      <c r="M27" s="13"/>
    </row>
    <row r="28">
      <c r="D28" s="14"/>
      <c r="M28" s="13"/>
    </row>
    <row r="29">
      <c r="D29" s="34"/>
      <c r="E29" s="32" t="s">
        <v>49</v>
      </c>
      <c r="F29" s="32" t="s">
        <v>51</v>
      </c>
      <c r="G29" s="32" t="s">
        <v>52</v>
      </c>
      <c r="H29" s="32"/>
      <c r="I29" s="32" t="s">
        <v>352</v>
      </c>
      <c r="J29" s="32" t="s">
        <v>56</v>
      </c>
      <c r="K29" s="32" t="s">
        <v>57</v>
      </c>
      <c r="M29" s="13"/>
    </row>
    <row r="30">
      <c r="D30" s="11" t="s">
        <v>59</v>
      </c>
      <c r="E30" s="11">
        <f>D2</f>
        <v>50000</v>
      </c>
      <c r="F30" s="1">
        <v>3.0</v>
      </c>
      <c r="G30" s="38">
        <v>8.0</v>
      </c>
      <c r="I30" s="17">
        <f t="shared" ref="I30:I31" si="2">E30*F30/100</f>
        <v>1500</v>
      </c>
      <c r="J30" s="17">
        <f t="shared" ref="J30:J31" si="3">I30*G30</f>
        <v>12000</v>
      </c>
      <c r="K30" s="14">
        <f t="shared" ref="K30:K31" si="4">E30+J30</f>
        <v>62000</v>
      </c>
      <c r="M30" s="13"/>
    </row>
    <row r="31">
      <c r="D31" s="11" t="s">
        <v>111</v>
      </c>
      <c r="E31" s="11">
        <f>D8</f>
        <v>50000</v>
      </c>
      <c r="F31" s="1">
        <v>3.0</v>
      </c>
      <c r="G31" s="38">
        <v>3.0</v>
      </c>
      <c r="I31" s="17">
        <f t="shared" si="2"/>
        <v>1500</v>
      </c>
      <c r="J31" s="17">
        <f t="shared" si="3"/>
        <v>4500</v>
      </c>
      <c r="K31" s="14">
        <f t="shared" si="4"/>
        <v>54500</v>
      </c>
      <c r="M31" s="13"/>
    </row>
    <row r="32">
      <c r="D32" s="14"/>
      <c r="E32" s="11"/>
      <c r="G32" s="38"/>
      <c r="M32" s="13"/>
    </row>
    <row r="33">
      <c r="D33" s="14"/>
      <c r="E33" s="14"/>
      <c r="G33" s="40"/>
      <c r="M33" s="13"/>
    </row>
    <row r="34">
      <c r="D34" s="14"/>
      <c r="E34" s="14"/>
      <c r="G34" s="40"/>
      <c r="K34" s="19">
        <f>SUM(K30:K32)</f>
        <v>116500</v>
      </c>
      <c r="M34" s="13"/>
    </row>
    <row r="35">
      <c r="D35" s="14"/>
      <c r="E35" s="14"/>
      <c r="G35" s="40"/>
      <c r="M35" s="13"/>
    </row>
    <row r="36">
      <c r="D36" s="14"/>
      <c r="I36" s="39" t="s">
        <v>62</v>
      </c>
      <c r="K36" s="12">
        <f>F18</f>
        <v>59616</v>
      </c>
      <c r="M36" s="13"/>
    </row>
    <row r="37">
      <c r="D37" s="14"/>
      <c r="M37" s="13"/>
    </row>
    <row r="38">
      <c r="D38" s="14"/>
      <c r="I38" s="39" t="s">
        <v>72</v>
      </c>
      <c r="K38" s="60">
        <f>K34-K36</f>
        <v>56884</v>
      </c>
      <c r="M38" s="123" t="s">
        <v>69</v>
      </c>
    </row>
    <row r="39">
      <c r="D39" s="14"/>
      <c r="M39" s="13">
        <f>K38/3</f>
        <v>18961.33333</v>
      </c>
      <c r="N39" s="1" t="s">
        <v>79</v>
      </c>
    </row>
    <row r="40">
      <c r="D40" s="14"/>
      <c r="E40" s="14"/>
      <c r="M40" s="13">
        <f t="shared" ref="M40:M41" si="5">M39</f>
        <v>18961.33333</v>
      </c>
      <c r="N40" s="1" t="s">
        <v>82</v>
      </c>
    </row>
    <row r="41">
      <c r="D41" s="14"/>
      <c r="E41" s="14"/>
      <c r="M41" s="13">
        <f t="shared" si="5"/>
        <v>18961.33333</v>
      </c>
      <c r="N41" s="1" t="s">
        <v>84</v>
      </c>
    </row>
    <row r="42">
      <c r="D42" s="14"/>
      <c r="E42" s="14"/>
      <c r="M42" s="13"/>
    </row>
    <row r="43">
      <c r="D43" s="14"/>
      <c r="E43" s="14"/>
      <c r="M43" s="13"/>
    </row>
    <row r="44">
      <c r="D44" s="14"/>
      <c r="E44" s="14"/>
      <c r="M44" s="13"/>
    </row>
    <row r="45">
      <c r="D45" s="14"/>
      <c r="M45" s="13"/>
    </row>
    <row r="46">
      <c r="D46" s="14"/>
      <c r="M46" s="13"/>
    </row>
    <row r="47">
      <c r="D47" s="14"/>
      <c r="M47" s="13"/>
    </row>
    <row r="48">
      <c r="D48" s="14"/>
      <c r="M48" s="13"/>
    </row>
    <row r="49">
      <c r="D49" s="14"/>
      <c r="M49" s="13"/>
    </row>
    <row r="50">
      <c r="D50" s="14"/>
      <c r="M50" s="13"/>
    </row>
    <row r="51">
      <c r="D51" s="14"/>
      <c r="M51" s="13"/>
    </row>
    <row r="52">
      <c r="D52" s="14"/>
      <c r="M52" s="13"/>
    </row>
    <row r="53">
      <c r="D53" s="14"/>
      <c r="M53" s="13"/>
    </row>
    <row r="54">
      <c r="D54" s="14"/>
      <c r="M54" s="13"/>
    </row>
    <row r="55">
      <c r="D55" s="14"/>
      <c r="M55" s="13"/>
    </row>
    <row r="56">
      <c r="D56" s="14"/>
      <c r="M56" s="13"/>
    </row>
    <row r="57">
      <c r="D57" s="14"/>
      <c r="M57" s="13"/>
    </row>
    <row r="58">
      <c r="D58" s="14"/>
      <c r="M58" s="13"/>
    </row>
    <row r="59">
      <c r="D59" s="14"/>
      <c r="M59" s="13"/>
    </row>
    <row r="60">
      <c r="D60" s="14"/>
      <c r="M60" s="13"/>
    </row>
    <row r="61">
      <c r="D61" s="14"/>
      <c r="M61" s="13"/>
    </row>
    <row r="62">
      <c r="D62" s="14"/>
      <c r="M62" s="13"/>
    </row>
    <row r="63">
      <c r="D63" s="14"/>
      <c r="M63" s="13"/>
    </row>
    <row r="64">
      <c r="D64" s="14"/>
      <c r="M64" s="13"/>
    </row>
    <row r="65">
      <c r="D65" s="14"/>
      <c r="M65" s="13"/>
    </row>
    <row r="66">
      <c r="D66" s="14"/>
      <c r="M66" s="13"/>
    </row>
    <row r="67">
      <c r="D67" s="14"/>
      <c r="M67" s="13"/>
    </row>
    <row r="68">
      <c r="D68" s="14"/>
      <c r="M68" s="13"/>
    </row>
    <row r="69">
      <c r="D69" s="14"/>
      <c r="M69" s="13"/>
    </row>
    <row r="70">
      <c r="D70" s="14"/>
      <c r="M70" s="13"/>
    </row>
    <row r="71">
      <c r="D71" s="14"/>
      <c r="M71" s="13"/>
    </row>
    <row r="72">
      <c r="D72" s="14"/>
      <c r="M72" s="13"/>
    </row>
    <row r="73">
      <c r="D73" s="14"/>
      <c r="M73" s="13"/>
    </row>
    <row r="74">
      <c r="D74" s="14"/>
      <c r="M74" s="13"/>
    </row>
    <row r="75">
      <c r="D75" s="14"/>
      <c r="M75" s="13"/>
    </row>
    <row r="76">
      <c r="D76" s="14"/>
      <c r="M76" s="13"/>
    </row>
    <row r="77">
      <c r="D77" s="14"/>
      <c r="M77" s="13"/>
    </row>
    <row r="78">
      <c r="D78" s="14"/>
      <c r="M78" s="13"/>
    </row>
    <row r="79">
      <c r="D79" s="14"/>
      <c r="M79" s="13"/>
    </row>
    <row r="80">
      <c r="D80" s="14"/>
      <c r="M80" s="13"/>
    </row>
    <row r="81">
      <c r="D81" s="14"/>
      <c r="M81" s="13"/>
    </row>
    <row r="82">
      <c r="D82" s="14"/>
      <c r="M82" s="13"/>
    </row>
    <row r="83">
      <c r="D83" s="14"/>
      <c r="M83" s="13"/>
    </row>
    <row r="84">
      <c r="D84" s="14"/>
      <c r="M84" s="13"/>
    </row>
    <row r="85">
      <c r="D85" s="14"/>
      <c r="M85" s="13"/>
    </row>
    <row r="86">
      <c r="D86" s="14"/>
      <c r="M86" s="13"/>
    </row>
    <row r="87">
      <c r="D87" s="14"/>
      <c r="M87" s="13"/>
    </row>
    <row r="88">
      <c r="D88" s="14"/>
      <c r="M88" s="13"/>
    </row>
    <row r="89">
      <c r="D89" s="14"/>
      <c r="M89" s="13"/>
    </row>
    <row r="90">
      <c r="D90" s="14"/>
      <c r="M90" s="13"/>
    </row>
    <row r="91">
      <c r="D91" s="14"/>
      <c r="M91" s="13"/>
    </row>
    <row r="92">
      <c r="D92" s="14"/>
      <c r="M92" s="13"/>
    </row>
    <row r="93">
      <c r="D93" s="14"/>
      <c r="M93" s="13"/>
    </row>
    <row r="94">
      <c r="D94" s="14"/>
      <c r="M94" s="13"/>
    </row>
    <row r="95">
      <c r="D95" s="14"/>
      <c r="M95" s="13"/>
    </row>
    <row r="96">
      <c r="D96" s="14"/>
      <c r="M96" s="13"/>
    </row>
    <row r="97">
      <c r="D97" s="14"/>
      <c r="M97" s="13"/>
    </row>
    <row r="98">
      <c r="D98" s="14"/>
      <c r="M98" s="13"/>
    </row>
    <row r="99">
      <c r="D99" s="14"/>
      <c r="M99" s="13"/>
    </row>
    <row r="100">
      <c r="D100" s="14"/>
      <c r="M100" s="13"/>
    </row>
    <row r="101">
      <c r="D101" s="14"/>
      <c r="M101" s="13"/>
    </row>
    <row r="102">
      <c r="D102" s="14"/>
      <c r="M102" s="13"/>
    </row>
    <row r="103">
      <c r="D103" s="14"/>
      <c r="M103" s="13"/>
    </row>
    <row r="104">
      <c r="D104" s="14"/>
      <c r="M104" s="13"/>
    </row>
    <row r="105">
      <c r="D105" s="14"/>
      <c r="M105" s="13"/>
    </row>
    <row r="106">
      <c r="D106" s="14"/>
      <c r="M106" s="13"/>
    </row>
    <row r="107">
      <c r="D107" s="14"/>
      <c r="M107" s="13"/>
    </row>
    <row r="108">
      <c r="D108" s="14"/>
      <c r="M108" s="13"/>
    </row>
    <row r="109">
      <c r="D109" s="14"/>
      <c r="M109" s="13"/>
    </row>
    <row r="110">
      <c r="D110" s="14"/>
      <c r="M110" s="13"/>
    </row>
    <row r="111">
      <c r="D111" s="14"/>
      <c r="M111" s="13"/>
    </row>
    <row r="112">
      <c r="D112" s="14"/>
      <c r="M112" s="13"/>
    </row>
    <row r="113">
      <c r="D113" s="14"/>
      <c r="M113" s="13"/>
    </row>
    <row r="114">
      <c r="D114" s="14"/>
      <c r="M114" s="13"/>
    </row>
    <row r="115">
      <c r="D115" s="14"/>
      <c r="M115" s="13"/>
    </row>
    <row r="116">
      <c r="D116" s="14"/>
      <c r="M116" s="13"/>
    </row>
    <row r="117">
      <c r="D117" s="14"/>
      <c r="M117" s="13"/>
    </row>
    <row r="118">
      <c r="D118" s="14"/>
      <c r="M118" s="13"/>
    </row>
    <row r="119">
      <c r="D119" s="14"/>
      <c r="M119" s="13"/>
    </row>
    <row r="120">
      <c r="D120" s="14"/>
      <c r="M120" s="13"/>
    </row>
    <row r="121">
      <c r="D121" s="14"/>
      <c r="M121" s="13"/>
    </row>
    <row r="122">
      <c r="D122" s="14"/>
      <c r="M122" s="13"/>
    </row>
    <row r="123">
      <c r="D123" s="14"/>
      <c r="M123" s="13"/>
    </row>
    <row r="124">
      <c r="D124" s="14"/>
      <c r="M124" s="13"/>
    </row>
    <row r="125">
      <c r="D125" s="14"/>
      <c r="M125" s="13"/>
    </row>
    <row r="126">
      <c r="D126" s="14"/>
      <c r="M126" s="13"/>
    </row>
    <row r="127">
      <c r="D127" s="14"/>
      <c r="M127" s="13"/>
    </row>
    <row r="128">
      <c r="D128" s="14"/>
      <c r="M128" s="13"/>
    </row>
    <row r="129">
      <c r="D129" s="14"/>
      <c r="M129" s="13"/>
    </row>
    <row r="130">
      <c r="D130" s="14"/>
      <c r="M130" s="13"/>
    </row>
    <row r="131">
      <c r="D131" s="14"/>
      <c r="M131" s="13"/>
    </row>
    <row r="132">
      <c r="D132" s="14"/>
      <c r="M132" s="13"/>
    </row>
    <row r="133">
      <c r="D133" s="14"/>
      <c r="M133" s="13"/>
    </row>
    <row r="134">
      <c r="D134" s="14"/>
      <c r="M134" s="13"/>
    </row>
    <row r="135">
      <c r="D135" s="14"/>
      <c r="M135" s="13"/>
    </row>
    <row r="136">
      <c r="D136" s="14"/>
      <c r="M136" s="13"/>
    </row>
    <row r="137">
      <c r="D137" s="14"/>
      <c r="M137" s="13"/>
    </row>
    <row r="138">
      <c r="D138" s="14"/>
      <c r="M138" s="13"/>
    </row>
    <row r="139">
      <c r="D139" s="14"/>
      <c r="M139" s="13"/>
    </row>
    <row r="140">
      <c r="D140" s="14"/>
      <c r="M140" s="13"/>
    </row>
    <row r="141">
      <c r="D141" s="14"/>
      <c r="M141" s="13"/>
    </row>
    <row r="142">
      <c r="D142" s="14"/>
      <c r="M142" s="13"/>
    </row>
    <row r="143">
      <c r="D143" s="14"/>
      <c r="M143" s="13"/>
    </row>
    <row r="144">
      <c r="D144" s="14"/>
      <c r="M144" s="13"/>
    </row>
    <row r="145">
      <c r="D145" s="14"/>
      <c r="M145" s="13"/>
    </row>
    <row r="146">
      <c r="D146" s="14"/>
      <c r="M146" s="13"/>
    </row>
    <row r="147">
      <c r="D147" s="14"/>
      <c r="M147" s="13"/>
    </row>
    <row r="148">
      <c r="D148" s="14"/>
      <c r="M148" s="13"/>
    </row>
    <row r="149">
      <c r="D149" s="14"/>
      <c r="M149" s="13"/>
    </row>
    <row r="150">
      <c r="D150" s="14"/>
      <c r="M150" s="13"/>
    </row>
    <row r="151">
      <c r="D151" s="14"/>
      <c r="M151" s="13"/>
    </row>
    <row r="152">
      <c r="D152" s="14"/>
      <c r="M152" s="13"/>
    </row>
    <row r="153">
      <c r="D153" s="14"/>
      <c r="M153" s="13"/>
    </row>
    <row r="154">
      <c r="D154" s="14"/>
      <c r="M154" s="13"/>
    </row>
    <row r="155">
      <c r="D155" s="14"/>
      <c r="M155" s="13"/>
    </row>
    <row r="156">
      <c r="D156" s="14"/>
      <c r="M156" s="13"/>
    </row>
    <row r="157">
      <c r="D157" s="14"/>
      <c r="M157" s="13"/>
    </row>
    <row r="158">
      <c r="D158" s="14"/>
      <c r="M158" s="13"/>
    </row>
    <row r="159">
      <c r="D159" s="14"/>
      <c r="M159" s="13"/>
    </row>
    <row r="160">
      <c r="D160" s="14"/>
      <c r="M160" s="13"/>
    </row>
    <row r="161">
      <c r="D161" s="14"/>
      <c r="M161" s="13"/>
    </row>
    <row r="162">
      <c r="D162" s="14"/>
      <c r="M162" s="13"/>
    </row>
    <row r="163">
      <c r="D163" s="14"/>
      <c r="M163" s="13"/>
    </row>
    <row r="164">
      <c r="D164" s="14"/>
      <c r="M164" s="13"/>
    </row>
    <row r="165">
      <c r="D165" s="14"/>
      <c r="M165" s="13"/>
    </row>
    <row r="166">
      <c r="D166" s="14"/>
      <c r="M166" s="13"/>
    </row>
    <row r="167">
      <c r="D167" s="14"/>
      <c r="M167" s="13"/>
    </row>
    <row r="168">
      <c r="D168" s="14"/>
      <c r="M168" s="13"/>
    </row>
    <row r="169">
      <c r="D169" s="14"/>
      <c r="M169" s="13"/>
    </row>
    <row r="170">
      <c r="D170" s="14"/>
      <c r="M170" s="13"/>
    </row>
    <row r="171">
      <c r="D171" s="14"/>
      <c r="M171" s="13"/>
    </row>
    <row r="172">
      <c r="D172" s="14"/>
      <c r="M172" s="13"/>
    </row>
    <row r="173">
      <c r="D173" s="14"/>
      <c r="M173" s="13"/>
    </row>
    <row r="174">
      <c r="D174" s="14"/>
      <c r="M174" s="13"/>
    </row>
    <row r="175">
      <c r="D175" s="14"/>
      <c r="M175" s="13"/>
    </row>
    <row r="176">
      <c r="D176" s="14"/>
      <c r="M176" s="13"/>
    </row>
    <row r="177">
      <c r="D177" s="14"/>
      <c r="M177" s="13"/>
    </row>
    <row r="178">
      <c r="D178" s="14"/>
      <c r="M178" s="13"/>
    </row>
    <row r="179">
      <c r="D179" s="14"/>
      <c r="M179" s="13"/>
    </row>
    <row r="180">
      <c r="D180" s="14"/>
      <c r="M180" s="13"/>
    </row>
    <row r="181">
      <c r="D181" s="14"/>
      <c r="M181" s="13"/>
    </row>
    <row r="182">
      <c r="D182" s="14"/>
      <c r="M182" s="13"/>
    </row>
    <row r="183">
      <c r="D183" s="14"/>
      <c r="M183" s="13"/>
    </row>
    <row r="184">
      <c r="D184" s="14"/>
      <c r="M184" s="13"/>
    </row>
    <row r="185">
      <c r="D185" s="14"/>
      <c r="M185" s="13"/>
    </row>
    <row r="186">
      <c r="D186" s="14"/>
      <c r="M186" s="13"/>
    </row>
    <row r="187">
      <c r="D187" s="14"/>
      <c r="M187" s="13"/>
    </row>
    <row r="188">
      <c r="D188" s="14"/>
      <c r="M188" s="13"/>
    </row>
    <row r="189">
      <c r="D189" s="14"/>
      <c r="M189" s="13"/>
    </row>
    <row r="190">
      <c r="D190" s="14"/>
      <c r="M190" s="13"/>
    </row>
    <row r="191">
      <c r="D191" s="14"/>
      <c r="M191" s="13"/>
    </row>
    <row r="192">
      <c r="D192" s="14"/>
      <c r="M192" s="13"/>
    </row>
    <row r="193">
      <c r="D193" s="14"/>
      <c r="M193" s="13"/>
    </row>
    <row r="194">
      <c r="D194" s="14"/>
      <c r="M194" s="13"/>
    </row>
    <row r="195">
      <c r="D195" s="14"/>
      <c r="M195" s="13"/>
    </row>
    <row r="196">
      <c r="D196" s="14"/>
      <c r="M196" s="13"/>
    </row>
    <row r="197">
      <c r="D197" s="14"/>
      <c r="M197" s="13"/>
    </row>
    <row r="198">
      <c r="D198" s="14"/>
      <c r="M198" s="13"/>
    </row>
    <row r="199">
      <c r="D199" s="14"/>
      <c r="M199" s="13"/>
    </row>
    <row r="200">
      <c r="D200" s="14"/>
      <c r="M200" s="13"/>
    </row>
    <row r="201">
      <c r="D201" s="14"/>
      <c r="M201" s="13"/>
    </row>
    <row r="202">
      <c r="D202" s="14"/>
      <c r="M202" s="13"/>
    </row>
    <row r="203">
      <c r="D203" s="14"/>
      <c r="M203" s="13"/>
    </row>
    <row r="204">
      <c r="D204" s="14"/>
      <c r="M204" s="13"/>
    </row>
    <row r="205">
      <c r="D205" s="14"/>
      <c r="M205" s="13"/>
    </row>
    <row r="206">
      <c r="D206" s="14"/>
      <c r="M206" s="13"/>
    </row>
    <row r="207">
      <c r="D207" s="14"/>
      <c r="M207" s="13"/>
    </row>
    <row r="208">
      <c r="D208" s="14"/>
      <c r="M208" s="13"/>
    </row>
    <row r="209">
      <c r="D209" s="14"/>
      <c r="M209" s="13"/>
    </row>
    <row r="210">
      <c r="D210" s="14"/>
      <c r="M210" s="13"/>
    </row>
    <row r="211">
      <c r="D211" s="14"/>
      <c r="M211" s="13"/>
    </row>
    <row r="212">
      <c r="D212" s="14"/>
      <c r="M212" s="13"/>
    </row>
    <row r="213">
      <c r="D213" s="14"/>
      <c r="M213" s="13"/>
    </row>
    <row r="214">
      <c r="D214" s="14"/>
      <c r="M214" s="13"/>
    </row>
    <row r="215">
      <c r="D215" s="14"/>
      <c r="M215" s="13"/>
    </row>
    <row r="216">
      <c r="D216" s="14"/>
      <c r="M216" s="13"/>
    </row>
    <row r="217">
      <c r="D217" s="14"/>
      <c r="M217" s="13"/>
    </row>
    <row r="218">
      <c r="D218" s="14"/>
      <c r="M218" s="13"/>
    </row>
    <row r="219">
      <c r="D219" s="14"/>
      <c r="M219" s="13"/>
    </row>
    <row r="220">
      <c r="D220" s="14"/>
      <c r="M220" s="13"/>
    </row>
    <row r="221">
      <c r="D221" s="14"/>
      <c r="M221" s="13"/>
    </row>
    <row r="222">
      <c r="D222" s="14"/>
      <c r="M222" s="13"/>
    </row>
    <row r="223">
      <c r="D223" s="14"/>
      <c r="M223" s="13"/>
    </row>
    <row r="224">
      <c r="D224" s="14"/>
      <c r="M224" s="13"/>
    </row>
    <row r="225">
      <c r="D225" s="14"/>
      <c r="M225" s="13"/>
    </row>
    <row r="226">
      <c r="D226" s="14"/>
      <c r="M226" s="13"/>
    </row>
    <row r="227">
      <c r="D227" s="14"/>
      <c r="M227" s="13"/>
    </row>
    <row r="228">
      <c r="D228" s="14"/>
      <c r="M228" s="13"/>
    </row>
    <row r="229">
      <c r="D229" s="14"/>
      <c r="M229" s="13"/>
    </row>
    <row r="230">
      <c r="D230" s="14"/>
      <c r="M230" s="13"/>
    </row>
    <row r="231">
      <c r="D231" s="14"/>
      <c r="M231" s="13"/>
    </row>
    <row r="232">
      <c r="D232" s="14"/>
      <c r="M232" s="13"/>
    </row>
    <row r="233">
      <c r="D233" s="14"/>
      <c r="M233" s="13"/>
    </row>
    <row r="234">
      <c r="D234" s="14"/>
      <c r="M234" s="13"/>
    </row>
    <row r="235">
      <c r="D235" s="14"/>
      <c r="M235" s="13"/>
    </row>
    <row r="236">
      <c r="D236" s="14"/>
      <c r="M236" s="13"/>
    </row>
    <row r="237">
      <c r="D237" s="14"/>
      <c r="M237" s="13"/>
    </row>
    <row r="238">
      <c r="D238" s="14"/>
      <c r="M238" s="13"/>
    </row>
    <row r="239">
      <c r="D239" s="14"/>
      <c r="M239" s="13"/>
    </row>
    <row r="240">
      <c r="D240" s="14"/>
      <c r="M240" s="13"/>
    </row>
    <row r="241">
      <c r="D241" s="14"/>
      <c r="M241" s="13"/>
    </row>
    <row r="242">
      <c r="D242" s="14"/>
      <c r="M242" s="13"/>
    </row>
    <row r="243">
      <c r="D243" s="14"/>
      <c r="M243" s="13"/>
    </row>
    <row r="244">
      <c r="D244" s="14"/>
      <c r="M244" s="13"/>
    </row>
    <row r="245">
      <c r="D245" s="14"/>
      <c r="M245" s="13"/>
    </row>
    <row r="246">
      <c r="D246" s="14"/>
      <c r="M246" s="13"/>
    </row>
    <row r="247">
      <c r="D247" s="14"/>
      <c r="M247" s="13"/>
    </row>
    <row r="248">
      <c r="D248" s="14"/>
      <c r="M248" s="13"/>
    </row>
    <row r="249">
      <c r="D249" s="14"/>
      <c r="M249" s="13"/>
    </row>
    <row r="250">
      <c r="D250" s="14"/>
      <c r="M250" s="13"/>
    </row>
    <row r="251">
      <c r="D251" s="14"/>
      <c r="M251" s="13"/>
    </row>
    <row r="252">
      <c r="D252" s="14"/>
      <c r="M252" s="13"/>
    </row>
    <row r="253">
      <c r="D253" s="14"/>
      <c r="M253" s="13"/>
    </row>
    <row r="254">
      <c r="D254" s="14"/>
      <c r="M254" s="13"/>
    </row>
    <row r="255">
      <c r="D255" s="14"/>
      <c r="M255" s="13"/>
    </row>
    <row r="256">
      <c r="D256" s="14"/>
      <c r="M256" s="13"/>
    </row>
    <row r="257">
      <c r="D257" s="14"/>
      <c r="M257" s="13"/>
    </row>
    <row r="258">
      <c r="D258" s="14"/>
      <c r="M258" s="13"/>
    </row>
    <row r="259">
      <c r="D259" s="14"/>
      <c r="M259" s="13"/>
    </row>
    <row r="260">
      <c r="D260" s="14"/>
      <c r="M260" s="13"/>
    </row>
    <row r="261">
      <c r="D261" s="14"/>
      <c r="M261" s="13"/>
    </row>
    <row r="262">
      <c r="D262" s="14"/>
      <c r="M262" s="13"/>
    </row>
    <row r="263">
      <c r="D263" s="14"/>
      <c r="M263" s="13"/>
    </row>
    <row r="264">
      <c r="D264" s="14"/>
      <c r="M264" s="13"/>
    </row>
    <row r="265">
      <c r="D265" s="14"/>
      <c r="M265" s="13"/>
    </row>
    <row r="266">
      <c r="D266" s="14"/>
      <c r="M266" s="13"/>
    </row>
    <row r="267">
      <c r="D267" s="14"/>
      <c r="M267" s="13"/>
    </row>
    <row r="268">
      <c r="D268" s="14"/>
      <c r="M268" s="13"/>
    </row>
    <row r="269">
      <c r="D269" s="14"/>
      <c r="M269" s="13"/>
    </row>
    <row r="270">
      <c r="D270" s="14"/>
      <c r="M270" s="13"/>
    </row>
    <row r="271">
      <c r="D271" s="14"/>
      <c r="M271" s="13"/>
    </row>
    <row r="272">
      <c r="D272" s="14"/>
      <c r="M272" s="13"/>
    </row>
    <row r="273">
      <c r="D273" s="14"/>
      <c r="M273" s="13"/>
    </row>
    <row r="274">
      <c r="D274" s="14"/>
      <c r="M274" s="13"/>
    </row>
    <row r="275">
      <c r="D275" s="14"/>
      <c r="M275" s="13"/>
    </row>
    <row r="276">
      <c r="D276" s="14"/>
      <c r="M276" s="13"/>
    </row>
    <row r="277">
      <c r="D277" s="14"/>
      <c r="M277" s="13"/>
    </row>
    <row r="278">
      <c r="D278" s="14"/>
      <c r="M278" s="13"/>
    </row>
    <row r="279">
      <c r="D279" s="14"/>
      <c r="M279" s="13"/>
    </row>
    <row r="280">
      <c r="D280" s="14"/>
      <c r="M280" s="13"/>
    </row>
    <row r="281">
      <c r="D281" s="14"/>
      <c r="M281" s="13"/>
    </row>
    <row r="282">
      <c r="D282" s="14"/>
      <c r="M282" s="13"/>
    </row>
    <row r="283">
      <c r="D283" s="14"/>
      <c r="M283" s="13"/>
    </row>
    <row r="284">
      <c r="D284" s="14"/>
      <c r="M284" s="13"/>
    </row>
    <row r="285">
      <c r="D285" s="14"/>
      <c r="M285" s="13"/>
    </row>
    <row r="286">
      <c r="D286" s="14"/>
      <c r="M286" s="13"/>
    </row>
    <row r="287">
      <c r="D287" s="14"/>
      <c r="M287" s="13"/>
    </row>
    <row r="288">
      <c r="D288" s="14"/>
      <c r="M288" s="13"/>
    </row>
    <row r="289">
      <c r="D289" s="14"/>
      <c r="M289" s="13"/>
    </row>
    <row r="290">
      <c r="D290" s="14"/>
      <c r="M290" s="13"/>
    </row>
    <row r="291">
      <c r="D291" s="14"/>
      <c r="M291" s="13"/>
    </row>
    <row r="292">
      <c r="D292" s="14"/>
      <c r="M292" s="13"/>
    </row>
    <row r="293">
      <c r="D293" s="14"/>
      <c r="M293" s="13"/>
    </row>
    <row r="294">
      <c r="D294" s="14"/>
      <c r="M294" s="13"/>
    </row>
    <row r="295">
      <c r="D295" s="14"/>
      <c r="M295" s="13"/>
    </row>
    <row r="296">
      <c r="D296" s="14"/>
      <c r="M296" s="13"/>
    </row>
    <row r="297">
      <c r="D297" s="14"/>
      <c r="M297" s="13"/>
    </row>
    <row r="298">
      <c r="D298" s="14"/>
      <c r="M298" s="13"/>
    </row>
    <row r="299">
      <c r="D299" s="14"/>
      <c r="M299" s="13"/>
    </row>
    <row r="300">
      <c r="D300" s="14"/>
      <c r="M300" s="13"/>
    </row>
    <row r="301">
      <c r="D301" s="14"/>
      <c r="M301" s="13"/>
    </row>
    <row r="302">
      <c r="D302" s="14"/>
      <c r="M302" s="13"/>
    </row>
    <row r="303">
      <c r="D303" s="14"/>
      <c r="M303" s="13"/>
    </row>
    <row r="304">
      <c r="D304" s="14"/>
      <c r="M304" s="13"/>
    </row>
    <row r="305">
      <c r="D305" s="14"/>
      <c r="M305" s="13"/>
    </row>
    <row r="306">
      <c r="D306" s="14"/>
      <c r="M306" s="13"/>
    </row>
    <row r="307">
      <c r="D307" s="14"/>
      <c r="M307" s="13"/>
    </row>
    <row r="308">
      <c r="D308" s="14"/>
      <c r="M308" s="13"/>
    </row>
    <row r="309">
      <c r="D309" s="14"/>
      <c r="M309" s="13"/>
    </row>
    <row r="310">
      <c r="D310" s="14"/>
      <c r="M310" s="13"/>
    </row>
    <row r="311">
      <c r="D311" s="14"/>
      <c r="M311" s="13"/>
    </row>
    <row r="312">
      <c r="D312" s="14"/>
      <c r="M312" s="13"/>
    </row>
    <row r="313">
      <c r="D313" s="14"/>
      <c r="M313" s="13"/>
    </row>
    <row r="314">
      <c r="D314" s="14"/>
      <c r="M314" s="13"/>
    </row>
    <row r="315">
      <c r="D315" s="14"/>
      <c r="M315" s="13"/>
    </row>
    <row r="316">
      <c r="D316" s="14"/>
      <c r="M316" s="13"/>
    </row>
    <row r="317">
      <c r="D317" s="14"/>
      <c r="M317" s="13"/>
    </row>
    <row r="318">
      <c r="D318" s="14"/>
      <c r="M318" s="13"/>
    </row>
    <row r="319">
      <c r="D319" s="14"/>
      <c r="M319" s="13"/>
    </row>
    <row r="320">
      <c r="D320" s="14"/>
      <c r="M320" s="13"/>
    </row>
    <row r="321">
      <c r="D321" s="14"/>
      <c r="M321" s="13"/>
    </row>
    <row r="322">
      <c r="D322" s="14"/>
      <c r="M322" s="13"/>
    </row>
    <row r="323">
      <c r="D323" s="14"/>
      <c r="M323" s="13"/>
    </row>
    <row r="324">
      <c r="D324" s="14"/>
      <c r="M324" s="13"/>
    </row>
    <row r="325">
      <c r="D325" s="14"/>
      <c r="M325" s="13"/>
    </row>
    <row r="326">
      <c r="D326" s="14"/>
      <c r="M326" s="13"/>
    </row>
    <row r="327">
      <c r="D327" s="14"/>
      <c r="M327" s="13"/>
    </row>
    <row r="328">
      <c r="D328" s="14"/>
      <c r="M328" s="13"/>
    </row>
    <row r="329">
      <c r="D329" s="14"/>
      <c r="M329" s="13"/>
    </row>
    <row r="330">
      <c r="D330" s="14"/>
      <c r="M330" s="13"/>
    </row>
    <row r="331">
      <c r="D331" s="14"/>
      <c r="M331" s="13"/>
    </row>
    <row r="332">
      <c r="D332" s="14"/>
      <c r="M332" s="13"/>
    </row>
    <row r="333">
      <c r="D333" s="14"/>
      <c r="M333" s="13"/>
    </row>
    <row r="334">
      <c r="D334" s="14"/>
      <c r="M334" s="13"/>
    </row>
    <row r="335">
      <c r="D335" s="14"/>
      <c r="M335" s="13"/>
    </row>
    <row r="336">
      <c r="D336" s="14"/>
      <c r="M336" s="13"/>
    </row>
    <row r="337">
      <c r="D337" s="14"/>
      <c r="M337" s="13"/>
    </row>
    <row r="338">
      <c r="D338" s="14"/>
      <c r="M338" s="13"/>
    </row>
    <row r="339">
      <c r="D339" s="14"/>
      <c r="M339" s="13"/>
    </row>
    <row r="340">
      <c r="D340" s="14"/>
      <c r="M340" s="13"/>
    </row>
    <row r="341">
      <c r="D341" s="14"/>
      <c r="M341" s="13"/>
    </row>
    <row r="342">
      <c r="D342" s="14"/>
      <c r="M342" s="13"/>
    </row>
    <row r="343">
      <c r="D343" s="14"/>
      <c r="M343" s="13"/>
    </row>
    <row r="344">
      <c r="D344" s="14"/>
      <c r="M344" s="13"/>
    </row>
    <row r="345">
      <c r="D345" s="14"/>
      <c r="M345" s="13"/>
    </row>
    <row r="346">
      <c r="D346" s="14"/>
      <c r="M346" s="13"/>
    </row>
    <row r="347">
      <c r="D347" s="14"/>
      <c r="M347" s="13"/>
    </row>
    <row r="348">
      <c r="D348" s="14"/>
      <c r="M348" s="13"/>
    </row>
    <row r="349">
      <c r="D349" s="14"/>
      <c r="M349" s="13"/>
    </row>
    <row r="350">
      <c r="D350" s="14"/>
      <c r="M350" s="13"/>
    </row>
    <row r="351">
      <c r="D351" s="14"/>
      <c r="M351" s="13"/>
    </row>
    <row r="352">
      <c r="D352" s="14"/>
      <c r="M352" s="13"/>
    </row>
    <row r="353">
      <c r="D353" s="14"/>
      <c r="M353" s="13"/>
    </row>
    <row r="354">
      <c r="D354" s="14"/>
      <c r="M354" s="13"/>
    </row>
    <row r="355">
      <c r="D355" s="14"/>
      <c r="M355" s="13"/>
    </row>
    <row r="356">
      <c r="D356" s="14"/>
      <c r="M356" s="13"/>
    </row>
    <row r="357">
      <c r="D357" s="14"/>
      <c r="M357" s="13"/>
    </row>
    <row r="358">
      <c r="D358" s="14"/>
      <c r="M358" s="13"/>
    </row>
    <row r="359">
      <c r="D359" s="14"/>
      <c r="M359" s="13"/>
    </row>
    <row r="360">
      <c r="D360" s="14"/>
      <c r="M360" s="13"/>
    </row>
    <row r="361">
      <c r="D361" s="14"/>
      <c r="M361" s="13"/>
    </row>
    <row r="362">
      <c r="D362" s="14"/>
      <c r="M362" s="13"/>
    </row>
    <row r="363">
      <c r="D363" s="14"/>
      <c r="M363" s="13"/>
    </row>
    <row r="364">
      <c r="D364" s="14"/>
      <c r="M364" s="13"/>
    </row>
    <row r="365">
      <c r="D365" s="14"/>
      <c r="M365" s="13"/>
    </row>
    <row r="366">
      <c r="D366" s="14"/>
      <c r="M366" s="13"/>
    </row>
    <row r="367">
      <c r="D367" s="14"/>
      <c r="M367" s="13"/>
    </row>
    <row r="368">
      <c r="D368" s="14"/>
      <c r="M368" s="13"/>
    </row>
    <row r="369">
      <c r="D369" s="14"/>
      <c r="M369" s="13"/>
    </row>
    <row r="370">
      <c r="D370" s="14"/>
      <c r="M370" s="13"/>
    </row>
    <row r="371">
      <c r="D371" s="14"/>
      <c r="M371" s="13"/>
    </row>
    <row r="372">
      <c r="D372" s="14"/>
      <c r="M372" s="13"/>
    </row>
    <row r="373">
      <c r="D373" s="14"/>
      <c r="M373" s="13"/>
    </row>
    <row r="374">
      <c r="D374" s="14"/>
      <c r="M374" s="13"/>
    </row>
    <row r="375">
      <c r="D375" s="14"/>
      <c r="M375" s="13"/>
    </row>
    <row r="376">
      <c r="D376" s="14"/>
      <c r="M376" s="13"/>
    </row>
    <row r="377">
      <c r="D377" s="14"/>
      <c r="M377" s="13"/>
    </row>
    <row r="378">
      <c r="D378" s="14"/>
      <c r="M378" s="13"/>
    </row>
    <row r="379">
      <c r="D379" s="14"/>
      <c r="M379" s="13"/>
    </row>
    <row r="380">
      <c r="D380" s="14"/>
      <c r="M380" s="13"/>
    </row>
    <row r="381">
      <c r="D381" s="14"/>
      <c r="M381" s="13"/>
    </row>
    <row r="382">
      <c r="D382" s="14"/>
      <c r="M382" s="13"/>
    </row>
    <row r="383">
      <c r="D383" s="14"/>
      <c r="M383" s="13"/>
    </row>
    <row r="384">
      <c r="D384" s="14"/>
      <c r="M384" s="13"/>
    </row>
    <row r="385">
      <c r="D385" s="14"/>
      <c r="M385" s="13"/>
    </row>
    <row r="386">
      <c r="D386" s="14"/>
      <c r="M386" s="13"/>
    </row>
    <row r="387">
      <c r="D387" s="14"/>
      <c r="M387" s="13"/>
    </row>
    <row r="388">
      <c r="D388" s="14"/>
      <c r="M388" s="13"/>
    </row>
    <row r="389">
      <c r="D389" s="14"/>
      <c r="M389" s="13"/>
    </row>
    <row r="390">
      <c r="D390" s="14"/>
      <c r="M390" s="13"/>
    </row>
    <row r="391">
      <c r="D391" s="14"/>
      <c r="M391" s="13"/>
    </row>
    <row r="392">
      <c r="D392" s="14"/>
      <c r="M392" s="13"/>
    </row>
    <row r="393">
      <c r="D393" s="14"/>
      <c r="M393" s="13"/>
    </row>
    <row r="394">
      <c r="D394" s="14"/>
      <c r="M394" s="13"/>
    </row>
    <row r="395">
      <c r="D395" s="14"/>
      <c r="M395" s="13"/>
    </row>
    <row r="396">
      <c r="D396" s="14"/>
      <c r="M396" s="13"/>
    </row>
    <row r="397">
      <c r="D397" s="14"/>
      <c r="M397" s="13"/>
    </row>
    <row r="398">
      <c r="D398" s="14"/>
      <c r="M398" s="13"/>
    </row>
    <row r="399">
      <c r="D399" s="14"/>
      <c r="M399" s="13"/>
    </row>
    <row r="400">
      <c r="D400" s="14"/>
      <c r="M400" s="13"/>
    </row>
    <row r="401">
      <c r="D401" s="14"/>
      <c r="M401" s="13"/>
    </row>
    <row r="402">
      <c r="D402" s="14"/>
      <c r="M402" s="13"/>
    </row>
    <row r="403">
      <c r="D403" s="14"/>
      <c r="M403" s="13"/>
    </row>
    <row r="404">
      <c r="D404" s="14"/>
      <c r="M404" s="13"/>
    </row>
    <row r="405">
      <c r="D405" s="14"/>
      <c r="M405" s="13"/>
    </row>
    <row r="406">
      <c r="D406" s="14"/>
      <c r="M406" s="13"/>
    </row>
    <row r="407">
      <c r="D407" s="14"/>
      <c r="M407" s="13"/>
    </row>
    <row r="408">
      <c r="D408" s="14"/>
      <c r="M408" s="13"/>
    </row>
    <row r="409">
      <c r="D409" s="14"/>
      <c r="M409" s="13"/>
    </row>
    <row r="410">
      <c r="D410" s="14"/>
      <c r="M410" s="13"/>
    </row>
    <row r="411">
      <c r="D411" s="14"/>
      <c r="M411" s="13"/>
    </row>
    <row r="412">
      <c r="D412" s="14"/>
      <c r="M412" s="13"/>
    </row>
    <row r="413">
      <c r="D413" s="14"/>
      <c r="M413" s="13"/>
    </row>
    <row r="414">
      <c r="D414" s="14"/>
      <c r="M414" s="13"/>
    </row>
    <row r="415">
      <c r="D415" s="14"/>
      <c r="M415" s="13"/>
    </row>
    <row r="416">
      <c r="D416" s="14"/>
      <c r="M416" s="13"/>
    </row>
    <row r="417">
      <c r="D417" s="14"/>
      <c r="M417" s="13"/>
    </row>
    <row r="418">
      <c r="D418" s="14"/>
      <c r="M418" s="13"/>
    </row>
    <row r="419">
      <c r="D419" s="14"/>
      <c r="M419" s="13"/>
    </row>
    <row r="420">
      <c r="D420" s="14"/>
      <c r="M420" s="13"/>
    </row>
    <row r="421">
      <c r="D421" s="14"/>
      <c r="M421" s="13"/>
    </row>
    <row r="422">
      <c r="D422" s="14"/>
      <c r="M422" s="13"/>
    </row>
    <row r="423">
      <c r="D423" s="14"/>
      <c r="M423" s="13"/>
    </row>
    <row r="424">
      <c r="D424" s="14"/>
      <c r="M424" s="13"/>
    </row>
    <row r="425">
      <c r="D425" s="14"/>
      <c r="M425" s="13"/>
    </row>
    <row r="426">
      <c r="D426" s="14"/>
      <c r="M426" s="13"/>
    </row>
    <row r="427">
      <c r="D427" s="14"/>
      <c r="M427" s="13"/>
    </row>
    <row r="428">
      <c r="D428" s="14"/>
      <c r="M428" s="13"/>
    </row>
    <row r="429">
      <c r="D429" s="14"/>
      <c r="M429" s="13"/>
    </row>
    <row r="430">
      <c r="D430" s="14"/>
      <c r="M430" s="13"/>
    </row>
    <row r="431">
      <c r="D431" s="14"/>
      <c r="M431" s="13"/>
    </row>
    <row r="432">
      <c r="D432" s="14"/>
      <c r="M432" s="13"/>
    </row>
    <row r="433">
      <c r="D433" s="14"/>
      <c r="M433" s="13"/>
    </row>
    <row r="434">
      <c r="D434" s="14"/>
      <c r="M434" s="13"/>
    </row>
    <row r="435">
      <c r="D435" s="14"/>
      <c r="M435" s="13"/>
    </row>
    <row r="436">
      <c r="D436" s="14"/>
      <c r="M436" s="13"/>
    </row>
    <row r="437">
      <c r="D437" s="14"/>
      <c r="M437" s="13"/>
    </row>
    <row r="438">
      <c r="D438" s="14"/>
      <c r="M438" s="13"/>
    </row>
    <row r="439">
      <c r="D439" s="14"/>
      <c r="M439" s="13"/>
    </row>
    <row r="440">
      <c r="D440" s="14"/>
      <c r="M440" s="13"/>
    </row>
    <row r="441">
      <c r="D441" s="14"/>
      <c r="M441" s="13"/>
    </row>
    <row r="442">
      <c r="D442" s="14"/>
      <c r="M442" s="13"/>
    </row>
    <row r="443">
      <c r="D443" s="14"/>
      <c r="M443" s="13"/>
    </row>
    <row r="444">
      <c r="D444" s="14"/>
      <c r="M444" s="13"/>
    </row>
    <row r="445">
      <c r="D445" s="14"/>
      <c r="M445" s="13"/>
    </row>
    <row r="446">
      <c r="D446" s="14"/>
      <c r="M446" s="13"/>
    </row>
    <row r="447">
      <c r="D447" s="14"/>
      <c r="M447" s="13"/>
    </row>
    <row r="448">
      <c r="D448" s="14"/>
      <c r="M448" s="13"/>
    </row>
    <row r="449">
      <c r="D449" s="14"/>
      <c r="M449" s="13"/>
    </row>
    <row r="450">
      <c r="D450" s="14"/>
      <c r="M450" s="13"/>
    </row>
    <row r="451">
      <c r="D451" s="14"/>
      <c r="M451" s="13"/>
    </row>
    <row r="452">
      <c r="D452" s="14"/>
      <c r="M452" s="13"/>
    </row>
    <row r="453">
      <c r="D453" s="14"/>
      <c r="M453" s="13"/>
    </row>
    <row r="454">
      <c r="D454" s="14"/>
      <c r="M454" s="13"/>
    </row>
    <row r="455">
      <c r="D455" s="14"/>
      <c r="M455" s="13"/>
    </row>
    <row r="456">
      <c r="D456" s="14"/>
      <c r="M456" s="13"/>
    </row>
    <row r="457">
      <c r="D457" s="14"/>
      <c r="M457" s="13"/>
    </row>
    <row r="458">
      <c r="D458" s="14"/>
      <c r="M458" s="13"/>
    </row>
    <row r="459">
      <c r="D459" s="14"/>
      <c r="M459" s="13"/>
    </row>
    <row r="460">
      <c r="D460" s="14"/>
      <c r="M460" s="13"/>
    </row>
    <row r="461">
      <c r="D461" s="14"/>
      <c r="M461" s="13"/>
    </row>
    <row r="462">
      <c r="D462" s="14"/>
      <c r="M462" s="13"/>
    </row>
    <row r="463">
      <c r="D463" s="14"/>
      <c r="M463" s="13"/>
    </row>
    <row r="464">
      <c r="D464" s="14"/>
      <c r="M464" s="13"/>
    </row>
    <row r="465">
      <c r="D465" s="14"/>
      <c r="M465" s="13"/>
    </row>
    <row r="466">
      <c r="D466" s="14"/>
      <c r="M466" s="13"/>
    </row>
    <row r="467">
      <c r="D467" s="14"/>
      <c r="M467" s="13"/>
    </row>
    <row r="468">
      <c r="D468" s="14"/>
      <c r="M468" s="13"/>
    </row>
    <row r="469">
      <c r="D469" s="14"/>
      <c r="M469" s="13"/>
    </row>
    <row r="470">
      <c r="D470" s="14"/>
      <c r="M470" s="13"/>
    </row>
    <row r="471">
      <c r="D471" s="14"/>
      <c r="M471" s="13"/>
    </row>
    <row r="472">
      <c r="D472" s="14"/>
      <c r="M472" s="13"/>
    </row>
    <row r="473">
      <c r="D473" s="14"/>
      <c r="M473" s="13"/>
    </row>
    <row r="474">
      <c r="D474" s="14"/>
      <c r="M474" s="13"/>
    </row>
    <row r="475">
      <c r="D475" s="14"/>
      <c r="M475" s="13"/>
    </row>
    <row r="476">
      <c r="D476" s="14"/>
      <c r="M476" s="13"/>
    </row>
    <row r="477">
      <c r="D477" s="14"/>
      <c r="M477" s="13"/>
    </row>
    <row r="478">
      <c r="D478" s="14"/>
      <c r="M478" s="13"/>
    </row>
    <row r="479">
      <c r="D479" s="14"/>
      <c r="M479" s="13"/>
    </row>
    <row r="480">
      <c r="D480" s="14"/>
      <c r="M480" s="13"/>
    </row>
    <row r="481">
      <c r="D481" s="14"/>
      <c r="M481" s="13"/>
    </row>
    <row r="482">
      <c r="D482" s="14"/>
      <c r="M482" s="13"/>
    </row>
    <row r="483">
      <c r="D483" s="14"/>
      <c r="M483" s="13"/>
    </row>
    <row r="484">
      <c r="D484" s="14"/>
      <c r="M484" s="13"/>
    </row>
    <row r="485">
      <c r="D485" s="14"/>
      <c r="M485" s="13"/>
    </row>
    <row r="486">
      <c r="D486" s="14"/>
      <c r="M486" s="13"/>
    </row>
    <row r="487">
      <c r="D487" s="14"/>
      <c r="M487" s="13"/>
    </row>
    <row r="488">
      <c r="D488" s="14"/>
      <c r="M488" s="13"/>
    </row>
    <row r="489">
      <c r="D489" s="14"/>
      <c r="M489" s="13"/>
    </row>
    <row r="490">
      <c r="D490" s="14"/>
      <c r="M490" s="13"/>
    </row>
    <row r="491">
      <c r="D491" s="14"/>
      <c r="M491" s="13"/>
    </row>
    <row r="492">
      <c r="D492" s="14"/>
      <c r="M492" s="13"/>
    </row>
    <row r="493">
      <c r="D493" s="14"/>
      <c r="M493" s="13"/>
    </row>
    <row r="494">
      <c r="D494" s="14"/>
      <c r="M494" s="13"/>
    </row>
    <row r="495">
      <c r="D495" s="14"/>
      <c r="M495" s="13"/>
    </row>
    <row r="496">
      <c r="D496" s="14"/>
      <c r="M496" s="13"/>
    </row>
    <row r="497">
      <c r="D497" s="14"/>
      <c r="M497" s="13"/>
    </row>
    <row r="498">
      <c r="D498" s="14"/>
      <c r="M498" s="13"/>
    </row>
    <row r="499">
      <c r="D499" s="14"/>
      <c r="M499" s="13"/>
    </row>
    <row r="500">
      <c r="D500" s="14"/>
      <c r="M500" s="13"/>
    </row>
    <row r="501">
      <c r="D501" s="14"/>
      <c r="M501" s="13"/>
    </row>
    <row r="502">
      <c r="D502" s="14"/>
      <c r="M502" s="13"/>
    </row>
    <row r="503">
      <c r="D503" s="14"/>
      <c r="M503" s="13"/>
    </row>
    <row r="504">
      <c r="D504" s="14"/>
      <c r="M504" s="13"/>
    </row>
    <row r="505">
      <c r="D505" s="14"/>
      <c r="M505" s="13"/>
    </row>
    <row r="506">
      <c r="D506" s="14"/>
      <c r="M506" s="13"/>
    </row>
    <row r="507">
      <c r="D507" s="14"/>
      <c r="M507" s="13"/>
    </row>
    <row r="508">
      <c r="D508" s="14"/>
      <c r="M508" s="13"/>
    </row>
    <row r="509">
      <c r="D509" s="14"/>
      <c r="M509" s="13"/>
    </row>
    <row r="510">
      <c r="D510" s="14"/>
      <c r="M510" s="13"/>
    </row>
    <row r="511">
      <c r="D511" s="14"/>
      <c r="M511" s="13"/>
    </row>
    <row r="512">
      <c r="D512" s="14"/>
      <c r="M512" s="13"/>
    </row>
    <row r="513">
      <c r="D513" s="14"/>
      <c r="M513" s="13"/>
    </row>
    <row r="514">
      <c r="D514" s="14"/>
      <c r="M514" s="13"/>
    </row>
    <row r="515">
      <c r="D515" s="14"/>
      <c r="M515" s="13"/>
    </row>
    <row r="516">
      <c r="D516" s="14"/>
      <c r="M516" s="13"/>
    </row>
    <row r="517">
      <c r="D517" s="14"/>
      <c r="M517" s="13"/>
    </row>
    <row r="518">
      <c r="D518" s="14"/>
      <c r="M518" s="13"/>
    </row>
    <row r="519">
      <c r="D519" s="14"/>
      <c r="M519" s="13"/>
    </row>
    <row r="520">
      <c r="D520" s="14"/>
      <c r="M520" s="13"/>
    </row>
    <row r="521">
      <c r="D521" s="14"/>
      <c r="M521" s="13"/>
    </row>
    <row r="522">
      <c r="D522" s="14"/>
      <c r="M522" s="13"/>
    </row>
    <row r="523">
      <c r="D523" s="14"/>
      <c r="M523" s="13"/>
    </row>
    <row r="524">
      <c r="D524" s="14"/>
      <c r="M524" s="13"/>
    </row>
    <row r="525">
      <c r="D525" s="14"/>
      <c r="M525" s="13"/>
    </row>
    <row r="526">
      <c r="D526" s="14"/>
      <c r="M526" s="13"/>
    </row>
    <row r="527">
      <c r="D527" s="14"/>
      <c r="M527" s="13"/>
    </row>
    <row r="528">
      <c r="D528" s="14"/>
      <c r="M528" s="13"/>
    </row>
    <row r="529">
      <c r="D529" s="14"/>
      <c r="M529" s="13"/>
    </row>
    <row r="530">
      <c r="D530" s="14"/>
      <c r="M530" s="13"/>
    </row>
    <row r="531">
      <c r="D531" s="14"/>
      <c r="M531" s="13"/>
    </row>
    <row r="532">
      <c r="D532" s="14"/>
      <c r="M532" s="13"/>
    </row>
    <row r="533">
      <c r="D533" s="14"/>
      <c r="M533" s="13"/>
    </row>
    <row r="534">
      <c r="D534" s="14"/>
      <c r="M534" s="13"/>
    </row>
    <row r="535">
      <c r="D535" s="14"/>
      <c r="M535" s="13"/>
    </row>
    <row r="536">
      <c r="D536" s="14"/>
      <c r="M536" s="13"/>
    </row>
    <row r="537">
      <c r="D537" s="14"/>
      <c r="M537" s="13"/>
    </row>
    <row r="538">
      <c r="D538" s="14"/>
      <c r="M538" s="13"/>
    </row>
    <row r="539">
      <c r="D539" s="14"/>
      <c r="M539" s="13"/>
    </row>
    <row r="540">
      <c r="D540" s="14"/>
      <c r="M540" s="13"/>
    </row>
    <row r="541">
      <c r="D541" s="14"/>
      <c r="M541" s="13"/>
    </row>
    <row r="542">
      <c r="D542" s="14"/>
      <c r="M542" s="13"/>
    </row>
    <row r="543">
      <c r="D543" s="14"/>
      <c r="M543" s="13"/>
    </row>
    <row r="544">
      <c r="D544" s="14"/>
      <c r="M544" s="13"/>
    </row>
    <row r="545">
      <c r="D545" s="14"/>
      <c r="M545" s="13"/>
    </row>
    <row r="546">
      <c r="D546" s="14"/>
      <c r="M546" s="13"/>
    </row>
    <row r="547">
      <c r="D547" s="14"/>
      <c r="M547" s="13"/>
    </row>
    <row r="548">
      <c r="D548" s="14"/>
      <c r="M548" s="13"/>
    </row>
    <row r="549">
      <c r="D549" s="14"/>
      <c r="M549" s="13"/>
    </row>
    <row r="550">
      <c r="D550" s="14"/>
      <c r="M550" s="13"/>
    </row>
    <row r="551">
      <c r="D551" s="14"/>
      <c r="M551" s="13"/>
    </row>
    <row r="552">
      <c r="D552" s="14"/>
      <c r="M552" s="13"/>
    </row>
    <row r="553">
      <c r="D553" s="14"/>
      <c r="M553" s="13"/>
    </row>
    <row r="554">
      <c r="D554" s="14"/>
      <c r="M554" s="13"/>
    </row>
    <row r="555">
      <c r="D555" s="14"/>
      <c r="M555" s="13"/>
    </row>
    <row r="556">
      <c r="D556" s="14"/>
      <c r="M556" s="13"/>
    </row>
    <row r="557">
      <c r="D557" s="14"/>
      <c r="M557" s="13"/>
    </row>
    <row r="558">
      <c r="D558" s="14"/>
      <c r="M558" s="13"/>
    </row>
    <row r="559">
      <c r="D559" s="14"/>
      <c r="M559" s="13"/>
    </row>
    <row r="560">
      <c r="D560" s="14"/>
      <c r="M560" s="13"/>
    </row>
    <row r="561">
      <c r="D561" s="14"/>
      <c r="M561" s="13"/>
    </row>
    <row r="562">
      <c r="D562" s="14"/>
      <c r="M562" s="13"/>
    </row>
    <row r="563">
      <c r="D563" s="14"/>
      <c r="M563" s="13"/>
    </row>
    <row r="564">
      <c r="D564" s="14"/>
      <c r="M564" s="13"/>
    </row>
    <row r="565">
      <c r="D565" s="14"/>
      <c r="M565" s="13"/>
    </row>
    <row r="566">
      <c r="D566" s="14"/>
      <c r="M566" s="13"/>
    </row>
    <row r="567">
      <c r="D567" s="14"/>
      <c r="M567" s="13"/>
    </row>
    <row r="568">
      <c r="D568" s="14"/>
      <c r="M568" s="13"/>
    </row>
    <row r="569">
      <c r="D569" s="14"/>
      <c r="M569" s="13"/>
    </row>
    <row r="570">
      <c r="D570" s="14"/>
      <c r="M570" s="13"/>
    </row>
    <row r="571">
      <c r="D571" s="14"/>
      <c r="M571" s="13"/>
    </row>
    <row r="572">
      <c r="D572" s="14"/>
      <c r="M572" s="13"/>
    </row>
    <row r="573">
      <c r="D573" s="14"/>
      <c r="M573" s="13"/>
    </row>
    <row r="574">
      <c r="D574" s="14"/>
      <c r="M574" s="13"/>
    </row>
    <row r="575">
      <c r="D575" s="14"/>
      <c r="M575" s="13"/>
    </row>
    <row r="576">
      <c r="D576" s="14"/>
      <c r="M576" s="13"/>
    </row>
    <row r="577">
      <c r="D577" s="14"/>
      <c r="M577" s="13"/>
    </row>
    <row r="578">
      <c r="D578" s="14"/>
      <c r="M578" s="13"/>
    </row>
    <row r="579">
      <c r="D579" s="14"/>
      <c r="M579" s="13"/>
    </row>
    <row r="580">
      <c r="D580" s="14"/>
      <c r="M580" s="13"/>
    </row>
    <row r="581">
      <c r="D581" s="14"/>
      <c r="M581" s="13"/>
    </row>
    <row r="582">
      <c r="D582" s="14"/>
      <c r="M582" s="13"/>
    </row>
    <row r="583">
      <c r="D583" s="14"/>
      <c r="M583" s="13"/>
    </row>
    <row r="584">
      <c r="D584" s="14"/>
      <c r="M584" s="13"/>
    </row>
    <row r="585">
      <c r="D585" s="14"/>
      <c r="M585" s="13"/>
    </row>
    <row r="586">
      <c r="D586" s="14"/>
      <c r="M586" s="13"/>
    </row>
    <row r="587">
      <c r="D587" s="14"/>
      <c r="M587" s="13"/>
    </row>
    <row r="588">
      <c r="D588" s="14"/>
      <c r="M588" s="13"/>
    </row>
    <row r="589">
      <c r="D589" s="14"/>
      <c r="M589" s="13"/>
    </row>
    <row r="590">
      <c r="D590" s="14"/>
      <c r="M590" s="13"/>
    </row>
    <row r="591">
      <c r="D591" s="14"/>
      <c r="M591" s="13"/>
    </row>
    <row r="592">
      <c r="D592" s="14"/>
      <c r="M592" s="13"/>
    </row>
    <row r="593">
      <c r="D593" s="14"/>
      <c r="M593" s="13"/>
    </row>
    <row r="594">
      <c r="D594" s="14"/>
      <c r="M594" s="13"/>
    </row>
    <row r="595">
      <c r="D595" s="14"/>
      <c r="M595" s="13"/>
    </row>
    <row r="596">
      <c r="D596" s="14"/>
      <c r="M596" s="13"/>
    </row>
    <row r="597">
      <c r="D597" s="14"/>
      <c r="M597" s="13"/>
    </row>
    <row r="598">
      <c r="D598" s="14"/>
      <c r="M598" s="13"/>
    </row>
    <row r="599">
      <c r="D599" s="14"/>
      <c r="M599" s="13"/>
    </row>
    <row r="600">
      <c r="D600" s="14"/>
      <c r="M600" s="13"/>
    </row>
    <row r="601">
      <c r="D601" s="14"/>
      <c r="M601" s="13"/>
    </row>
    <row r="602">
      <c r="D602" s="14"/>
      <c r="M602" s="13"/>
    </row>
    <row r="603">
      <c r="D603" s="14"/>
      <c r="M603" s="13"/>
    </row>
    <row r="604">
      <c r="D604" s="14"/>
      <c r="M604" s="13"/>
    </row>
    <row r="605">
      <c r="D605" s="14"/>
      <c r="M605" s="13"/>
    </row>
    <row r="606">
      <c r="D606" s="14"/>
      <c r="M606" s="13"/>
    </row>
    <row r="607">
      <c r="D607" s="14"/>
      <c r="M607" s="13"/>
    </row>
    <row r="608">
      <c r="D608" s="14"/>
      <c r="M608" s="13"/>
    </row>
    <row r="609">
      <c r="D609" s="14"/>
      <c r="M609" s="13"/>
    </row>
    <row r="610">
      <c r="D610" s="14"/>
      <c r="M610" s="13"/>
    </row>
    <row r="611">
      <c r="D611" s="14"/>
      <c r="M611" s="13"/>
    </row>
    <row r="612">
      <c r="D612" s="14"/>
      <c r="M612" s="13"/>
    </row>
    <row r="613">
      <c r="D613" s="14"/>
      <c r="M613" s="13"/>
    </row>
    <row r="614">
      <c r="D614" s="14"/>
      <c r="M614" s="13"/>
    </row>
    <row r="615">
      <c r="D615" s="14"/>
      <c r="M615" s="13"/>
    </row>
    <row r="616">
      <c r="D616" s="14"/>
      <c r="M616" s="13"/>
    </row>
    <row r="617">
      <c r="D617" s="14"/>
      <c r="M617" s="13"/>
    </row>
    <row r="618">
      <c r="D618" s="14"/>
      <c r="M618" s="13"/>
    </row>
    <row r="619">
      <c r="D619" s="14"/>
      <c r="M619" s="13"/>
    </row>
    <row r="620">
      <c r="D620" s="14"/>
      <c r="M620" s="13"/>
    </row>
    <row r="621">
      <c r="D621" s="14"/>
      <c r="M621" s="13"/>
    </row>
    <row r="622">
      <c r="D622" s="14"/>
      <c r="M622" s="13"/>
    </row>
    <row r="623">
      <c r="D623" s="14"/>
      <c r="M623" s="13"/>
    </row>
    <row r="624">
      <c r="D624" s="14"/>
      <c r="M624" s="13"/>
    </row>
    <row r="625">
      <c r="D625" s="14"/>
      <c r="M625" s="13"/>
    </row>
    <row r="626">
      <c r="D626" s="14"/>
      <c r="M626" s="13"/>
    </row>
    <row r="627">
      <c r="D627" s="14"/>
      <c r="M627" s="13"/>
    </row>
    <row r="628">
      <c r="D628" s="14"/>
      <c r="M628" s="13"/>
    </row>
    <row r="629">
      <c r="D629" s="14"/>
      <c r="M629" s="13"/>
    </row>
    <row r="630">
      <c r="D630" s="14"/>
      <c r="M630" s="13"/>
    </row>
    <row r="631">
      <c r="D631" s="14"/>
      <c r="M631" s="13"/>
    </row>
    <row r="632">
      <c r="D632" s="14"/>
      <c r="M632" s="13"/>
    </row>
    <row r="633">
      <c r="D633" s="14"/>
      <c r="M633" s="13"/>
    </row>
    <row r="634">
      <c r="D634" s="14"/>
      <c r="M634" s="13"/>
    </row>
    <row r="635">
      <c r="D635" s="14"/>
      <c r="M635" s="13"/>
    </row>
    <row r="636">
      <c r="D636" s="14"/>
      <c r="M636" s="13"/>
    </row>
    <row r="637">
      <c r="D637" s="14"/>
      <c r="M637" s="13"/>
    </row>
    <row r="638">
      <c r="D638" s="14"/>
      <c r="M638" s="13"/>
    </row>
    <row r="639">
      <c r="D639" s="14"/>
      <c r="M639" s="13"/>
    </row>
    <row r="640">
      <c r="D640" s="14"/>
      <c r="M640" s="13"/>
    </row>
    <row r="641">
      <c r="D641" s="14"/>
      <c r="M641" s="13"/>
    </row>
    <row r="642">
      <c r="D642" s="14"/>
      <c r="M642" s="13"/>
    </row>
    <row r="643">
      <c r="D643" s="14"/>
      <c r="M643" s="13"/>
    </row>
    <row r="644">
      <c r="D644" s="14"/>
      <c r="M644" s="13"/>
    </row>
    <row r="645">
      <c r="D645" s="14"/>
      <c r="M645" s="13"/>
    </row>
    <row r="646">
      <c r="D646" s="14"/>
      <c r="M646" s="13"/>
    </row>
    <row r="647">
      <c r="D647" s="14"/>
      <c r="M647" s="13"/>
    </row>
    <row r="648">
      <c r="D648" s="14"/>
      <c r="M648" s="13"/>
    </row>
    <row r="649">
      <c r="D649" s="14"/>
      <c r="M649" s="13"/>
    </row>
    <row r="650">
      <c r="D650" s="14"/>
      <c r="M650" s="13"/>
    </row>
    <row r="651">
      <c r="D651" s="14"/>
      <c r="M651" s="13"/>
    </row>
    <row r="652">
      <c r="D652" s="14"/>
      <c r="M652" s="13"/>
    </row>
    <row r="653">
      <c r="D653" s="14"/>
      <c r="M653" s="13"/>
    </row>
    <row r="654">
      <c r="D654" s="14"/>
      <c r="M654" s="13"/>
    </row>
    <row r="655">
      <c r="D655" s="14"/>
      <c r="M655" s="13"/>
    </row>
    <row r="656">
      <c r="D656" s="14"/>
      <c r="M656" s="13"/>
    </row>
    <row r="657">
      <c r="D657" s="14"/>
      <c r="M657" s="13"/>
    </row>
    <row r="658">
      <c r="D658" s="14"/>
      <c r="M658" s="13"/>
    </row>
    <row r="659">
      <c r="D659" s="14"/>
      <c r="M659" s="13"/>
    </row>
    <row r="660">
      <c r="D660" s="14"/>
      <c r="M660" s="13"/>
    </row>
    <row r="661">
      <c r="D661" s="14"/>
      <c r="M661" s="13"/>
    </row>
    <row r="662">
      <c r="D662" s="14"/>
      <c r="M662" s="13"/>
    </row>
    <row r="663">
      <c r="D663" s="14"/>
      <c r="M663" s="13"/>
    </row>
    <row r="664">
      <c r="D664" s="14"/>
      <c r="M664" s="13"/>
    </row>
    <row r="665">
      <c r="D665" s="14"/>
      <c r="M665" s="13"/>
    </row>
    <row r="666">
      <c r="D666" s="14"/>
      <c r="M666" s="13"/>
    </row>
    <row r="667">
      <c r="D667" s="14"/>
      <c r="M667" s="13"/>
    </row>
    <row r="668">
      <c r="D668" s="14"/>
      <c r="M668" s="13"/>
    </row>
    <row r="669">
      <c r="D669" s="14"/>
      <c r="M669" s="13"/>
    </row>
    <row r="670">
      <c r="D670" s="14"/>
      <c r="M670" s="13"/>
    </row>
    <row r="671">
      <c r="D671" s="14"/>
      <c r="M671" s="13"/>
    </row>
    <row r="672">
      <c r="D672" s="14"/>
      <c r="M672" s="13"/>
    </row>
    <row r="673">
      <c r="D673" s="14"/>
      <c r="M673" s="13"/>
    </row>
    <row r="674">
      <c r="D674" s="14"/>
      <c r="M674" s="13"/>
    </row>
    <row r="675">
      <c r="D675" s="14"/>
      <c r="M675" s="13"/>
    </row>
    <row r="676">
      <c r="D676" s="14"/>
      <c r="M676" s="13"/>
    </row>
    <row r="677">
      <c r="D677" s="14"/>
      <c r="M677" s="13"/>
    </row>
    <row r="678">
      <c r="D678" s="14"/>
      <c r="M678" s="13"/>
    </row>
    <row r="679">
      <c r="D679" s="14"/>
      <c r="M679" s="13"/>
    </row>
    <row r="680">
      <c r="D680" s="14"/>
      <c r="M680" s="13"/>
    </row>
    <row r="681">
      <c r="D681" s="14"/>
      <c r="M681" s="13"/>
    </row>
    <row r="682">
      <c r="D682" s="14"/>
      <c r="M682" s="13"/>
    </row>
    <row r="683">
      <c r="D683" s="14"/>
      <c r="M683" s="13"/>
    </row>
    <row r="684">
      <c r="D684" s="14"/>
      <c r="M684" s="13"/>
    </row>
    <row r="685">
      <c r="D685" s="14"/>
      <c r="M685" s="13"/>
    </row>
    <row r="686">
      <c r="D686" s="14"/>
      <c r="M686" s="13"/>
    </row>
    <row r="687">
      <c r="D687" s="14"/>
      <c r="M687" s="13"/>
    </row>
    <row r="688">
      <c r="D688" s="14"/>
      <c r="M688" s="13"/>
    </row>
    <row r="689">
      <c r="D689" s="14"/>
      <c r="M689" s="13"/>
    </row>
    <row r="690">
      <c r="D690" s="14"/>
      <c r="M690" s="13"/>
    </row>
    <row r="691">
      <c r="D691" s="14"/>
      <c r="M691" s="13"/>
    </row>
    <row r="692">
      <c r="D692" s="14"/>
      <c r="M692" s="13"/>
    </row>
    <row r="693">
      <c r="D693" s="14"/>
      <c r="M693" s="13"/>
    </row>
    <row r="694">
      <c r="D694" s="14"/>
      <c r="M694" s="13"/>
    </row>
    <row r="695">
      <c r="D695" s="14"/>
      <c r="M695" s="13"/>
    </row>
    <row r="696">
      <c r="D696" s="14"/>
      <c r="M696" s="13"/>
    </row>
    <row r="697">
      <c r="D697" s="14"/>
      <c r="M697" s="13"/>
    </row>
    <row r="698">
      <c r="D698" s="14"/>
      <c r="M698" s="13"/>
    </row>
    <row r="699">
      <c r="D699" s="14"/>
      <c r="M699" s="13"/>
    </row>
    <row r="700">
      <c r="D700" s="14"/>
      <c r="M700" s="13"/>
    </row>
    <row r="701">
      <c r="D701" s="14"/>
      <c r="M701" s="13"/>
    </row>
    <row r="702">
      <c r="D702" s="14"/>
      <c r="M702" s="13"/>
    </row>
    <row r="703">
      <c r="D703" s="14"/>
      <c r="M703" s="13"/>
    </row>
    <row r="704">
      <c r="D704" s="14"/>
      <c r="M704" s="13"/>
    </row>
    <row r="705">
      <c r="D705" s="14"/>
      <c r="M705" s="13"/>
    </row>
    <row r="706">
      <c r="D706" s="14"/>
      <c r="M706" s="13"/>
    </row>
    <row r="707">
      <c r="D707" s="14"/>
      <c r="M707" s="13"/>
    </row>
    <row r="708">
      <c r="D708" s="14"/>
      <c r="M708" s="13"/>
    </row>
    <row r="709">
      <c r="D709" s="14"/>
      <c r="M709" s="13"/>
    </row>
    <row r="710">
      <c r="D710" s="14"/>
      <c r="M710" s="13"/>
    </row>
    <row r="711">
      <c r="D711" s="14"/>
      <c r="M711" s="13"/>
    </row>
    <row r="712">
      <c r="D712" s="14"/>
      <c r="M712" s="13"/>
    </row>
    <row r="713">
      <c r="D713" s="14"/>
      <c r="M713" s="13"/>
    </row>
    <row r="714">
      <c r="D714" s="14"/>
      <c r="M714" s="13"/>
    </row>
    <row r="715">
      <c r="D715" s="14"/>
      <c r="M715" s="13"/>
    </row>
    <row r="716">
      <c r="D716" s="14"/>
      <c r="M716" s="13"/>
    </row>
    <row r="717">
      <c r="D717" s="14"/>
      <c r="M717" s="13"/>
    </row>
    <row r="718">
      <c r="D718" s="14"/>
      <c r="M718" s="13"/>
    </row>
    <row r="719">
      <c r="D719" s="14"/>
      <c r="M719" s="13"/>
    </row>
    <row r="720">
      <c r="D720" s="14"/>
      <c r="M720" s="13"/>
    </row>
    <row r="721">
      <c r="D721" s="14"/>
      <c r="M721" s="13"/>
    </row>
    <row r="722">
      <c r="D722" s="14"/>
      <c r="M722" s="13"/>
    </row>
    <row r="723">
      <c r="D723" s="14"/>
      <c r="M723" s="13"/>
    </row>
    <row r="724">
      <c r="D724" s="14"/>
      <c r="M724" s="13"/>
    </row>
    <row r="725">
      <c r="D725" s="14"/>
      <c r="M725" s="13"/>
    </row>
    <row r="726">
      <c r="D726" s="14"/>
      <c r="M726" s="13"/>
    </row>
    <row r="727">
      <c r="D727" s="14"/>
      <c r="M727" s="13"/>
    </row>
    <row r="728">
      <c r="D728" s="14"/>
      <c r="M728" s="13"/>
    </row>
    <row r="729">
      <c r="D729" s="14"/>
      <c r="M729" s="13"/>
    </row>
    <row r="730">
      <c r="D730" s="14"/>
      <c r="M730" s="13"/>
    </row>
    <row r="731">
      <c r="D731" s="14"/>
      <c r="M731" s="13"/>
    </row>
    <row r="732">
      <c r="D732" s="14"/>
      <c r="M732" s="13"/>
    </row>
    <row r="733">
      <c r="D733" s="14"/>
      <c r="M733" s="13"/>
    </row>
    <row r="734">
      <c r="D734" s="14"/>
      <c r="M734" s="13"/>
    </row>
    <row r="735">
      <c r="D735" s="14"/>
      <c r="M735" s="13"/>
    </row>
    <row r="736">
      <c r="D736" s="14"/>
      <c r="M736" s="13"/>
    </row>
    <row r="737">
      <c r="D737" s="14"/>
      <c r="M737" s="13"/>
    </row>
    <row r="738">
      <c r="D738" s="14"/>
      <c r="M738" s="13"/>
    </row>
    <row r="739">
      <c r="D739" s="14"/>
      <c r="M739" s="13"/>
    </row>
    <row r="740">
      <c r="D740" s="14"/>
      <c r="M740" s="13"/>
    </row>
    <row r="741">
      <c r="D741" s="14"/>
      <c r="M741" s="13"/>
    </row>
    <row r="742">
      <c r="D742" s="14"/>
      <c r="M742" s="13"/>
    </row>
    <row r="743">
      <c r="D743" s="14"/>
      <c r="M743" s="13"/>
    </row>
    <row r="744">
      <c r="D744" s="14"/>
      <c r="M744" s="13"/>
    </row>
    <row r="745">
      <c r="D745" s="14"/>
      <c r="M745" s="13"/>
    </row>
    <row r="746">
      <c r="D746" s="14"/>
      <c r="M746" s="13"/>
    </row>
    <row r="747">
      <c r="D747" s="14"/>
      <c r="M747" s="13"/>
    </row>
    <row r="748">
      <c r="D748" s="14"/>
      <c r="M748" s="13"/>
    </row>
    <row r="749">
      <c r="D749" s="14"/>
      <c r="M749" s="13"/>
    </row>
    <row r="750">
      <c r="D750" s="14"/>
      <c r="M750" s="13"/>
    </row>
    <row r="751">
      <c r="D751" s="14"/>
      <c r="M751" s="13"/>
    </row>
    <row r="752">
      <c r="D752" s="14"/>
      <c r="M752" s="13"/>
    </row>
    <row r="753">
      <c r="D753" s="14"/>
      <c r="M753" s="13"/>
    </row>
    <row r="754">
      <c r="D754" s="14"/>
      <c r="M754" s="13"/>
    </row>
    <row r="755">
      <c r="D755" s="14"/>
      <c r="M755" s="13"/>
    </row>
    <row r="756">
      <c r="D756" s="14"/>
      <c r="M756" s="13"/>
    </row>
    <row r="757">
      <c r="D757" s="14"/>
      <c r="M757" s="13"/>
    </row>
    <row r="758">
      <c r="D758" s="14"/>
      <c r="M758" s="13"/>
    </row>
    <row r="759">
      <c r="D759" s="14"/>
      <c r="M759" s="13"/>
    </row>
    <row r="760">
      <c r="D760" s="14"/>
      <c r="M760" s="13"/>
    </row>
    <row r="761">
      <c r="D761" s="14"/>
      <c r="M761" s="13"/>
    </row>
    <row r="762">
      <c r="D762" s="14"/>
      <c r="M762" s="13"/>
    </row>
    <row r="763">
      <c r="D763" s="14"/>
      <c r="M763" s="13"/>
    </row>
    <row r="764">
      <c r="D764" s="14"/>
      <c r="M764" s="13"/>
    </row>
    <row r="765">
      <c r="D765" s="14"/>
      <c r="M765" s="13"/>
    </row>
    <row r="766">
      <c r="D766" s="14"/>
      <c r="M766" s="13"/>
    </row>
    <row r="767">
      <c r="D767" s="14"/>
      <c r="M767" s="13"/>
    </row>
    <row r="768">
      <c r="D768" s="14"/>
      <c r="M768" s="13"/>
    </row>
    <row r="769">
      <c r="D769" s="14"/>
      <c r="M769" s="13"/>
    </row>
    <row r="770">
      <c r="D770" s="14"/>
      <c r="M770" s="13"/>
    </row>
    <row r="771">
      <c r="D771" s="14"/>
      <c r="M771" s="13"/>
    </row>
    <row r="772">
      <c r="D772" s="14"/>
      <c r="M772" s="13"/>
    </row>
    <row r="773">
      <c r="D773" s="14"/>
      <c r="M773" s="13"/>
    </row>
    <row r="774">
      <c r="D774" s="14"/>
      <c r="M774" s="13"/>
    </row>
    <row r="775">
      <c r="D775" s="14"/>
      <c r="M775" s="13"/>
    </row>
    <row r="776">
      <c r="D776" s="14"/>
      <c r="M776" s="13"/>
    </row>
    <row r="777">
      <c r="D777" s="14"/>
      <c r="M777" s="13"/>
    </row>
    <row r="778">
      <c r="D778" s="14"/>
      <c r="M778" s="13"/>
    </row>
    <row r="779">
      <c r="D779" s="14"/>
      <c r="M779" s="13"/>
    </row>
    <row r="780">
      <c r="D780" s="14"/>
      <c r="M780" s="13"/>
    </row>
    <row r="781">
      <c r="D781" s="14"/>
      <c r="M781" s="13"/>
    </row>
    <row r="782">
      <c r="D782" s="14"/>
      <c r="M782" s="13"/>
    </row>
    <row r="783">
      <c r="D783" s="14"/>
      <c r="M783" s="13"/>
    </row>
    <row r="784">
      <c r="D784" s="14"/>
      <c r="M784" s="13"/>
    </row>
    <row r="785">
      <c r="D785" s="14"/>
      <c r="M785" s="13"/>
    </row>
    <row r="786">
      <c r="D786" s="14"/>
      <c r="M786" s="13"/>
    </row>
    <row r="787">
      <c r="D787" s="14"/>
      <c r="M787" s="13"/>
    </row>
    <row r="788">
      <c r="D788" s="14"/>
      <c r="M788" s="13"/>
    </row>
    <row r="789">
      <c r="D789" s="14"/>
      <c r="M789" s="13"/>
    </row>
    <row r="790">
      <c r="D790" s="14"/>
      <c r="M790" s="13"/>
    </row>
    <row r="791">
      <c r="D791" s="14"/>
      <c r="M791" s="13"/>
    </row>
    <row r="792">
      <c r="D792" s="14"/>
      <c r="M792" s="13"/>
    </row>
    <row r="793">
      <c r="D793" s="14"/>
      <c r="M793" s="13"/>
    </row>
    <row r="794">
      <c r="D794" s="14"/>
      <c r="M794" s="13"/>
    </row>
    <row r="795">
      <c r="D795" s="14"/>
      <c r="M795" s="13"/>
    </row>
    <row r="796">
      <c r="D796" s="14"/>
      <c r="M796" s="13"/>
    </row>
    <row r="797">
      <c r="D797" s="14"/>
      <c r="M797" s="13"/>
    </row>
    <row r="798">
      <c r="D798" s="14"/>
      <c r="M798" s="13"/>
    </row>
    <row r="799">
      <c r="D799" s="14"/>
      <c r="M799" s="13"/>
    </row>
    <row r="800">
      <c r="D800" s="14"/>
      <c r="M800" s="13"/>
    </row>
    <row r="801">
      <c r="D801" s="14"/>
      <c r="M801" s="13"/>
    </row>
    <row r="802">
      <c r="D802" s="14"/>
      <c r="M802" s="13"/>
    </row>
    <row r="803">
      <c r="D803" s="14"/>
      <c r="M803" s="13"/>
    </row>
    <row r="804">
      <c r="D804" s="14"/>
      <c r="M804" s="13"/>
    </row>
    <row r="805">
      <c r="D805" s="14"/>
      <c r="M805" s="13"/>
    </row>
    <row r="806">
      <c r="D806" s="14"/>
      <c r="M806" s="13"/>
    </row>
    <row r="807">
      <c r="D807" s="14"/>
      <c r="M807" s="13"/>
    </row>
    <row r="808">
      <c r="D808" s="14"/>
      <c r="M808" s="13"/>
    </row>
    <row r="809">
      <c r="D809" s="14"/>
      <c r="M809" s="13"/>
    </row>
    <row r="810">
      <c r="D810" s="14"/>
      <c r="M810" s="13"/>
    </row>
    <row r="811">
      <c r="D811" s="14"/>
      <c r="M811" s="13"/>
    </row>
    <row r="812">
      <c r="D812" s="14"/>
      <c r="M812" s="13"/>
    </row>
    <row r="813">
      <c r="D813" s="14"/>
      <c r="M813" s="13"/>
    </row>
    <row r="814">
      <c r="D814" s="14"/>
      <c r="M814" s="13"/>
    </row>
    <row r="815">
      <c r="D815" s="14"/>
      <c r="M815" s="13"/>
    </row>
    <row r="816">
      <c r="D816" s="14"/>
      <c r="M816" s="13"/>
    </row>
    <row r="817">
      <c r="D817" s="14"/>
      <c r="M817" s="13"/>
    </row>
    <row r="818">
      <c r="D818" s="14"/>
      <c r="M818" s="13"/>
    </row>
    <row r="819">
      <c r="D819" s="14"/>
      <c r="M819" s="13"/>
    </row>
    <row r="820">
      <c r="D820" s="14"/>
      <c r="M820" s="13"/>
    </row>
    <row r="821">
      <c r="D821" s="14"/>
      <c r="M821" s="13"/>
    </row>
    <row r="822">
      <c r="D822" s="14"/>
      <c r="M822" s="13"/>
    </row>
    <row r="823">
      <c r="D823" s="14"/>
      <c r="M823" s="13"/>
    </row>
    <row r="824">
      <c r="D824" s="14"/>
      <c r="M824" s="13"/>
    </row>
    <row r="825">
      <c r="D825" s="14"/>
      <c r="M825" s="13"/>
    </row>
    <row r="826">
      <c r="D826" s="14"/>
      <c r="M826" s="13"/>
    </row>
    <row r="827">
      <c r="D827" s="14"/>
      <c r="M827" s="13"/>
    </row>
    <row r="828">
      <c r="D828" s="14"/>
      <c r="M828" s="13"/>
    </row>
    <row r="829">
      <c r="D829" s="14"/>
      <c r="M829" s="13"/>
    </row>
    <row r="830">
      <c r="D830" s="14"/>
      <c r="M830" s="13"/>
    </row>
    <row r="831">
      <c r="D831" s="14"/>
      <c r="M831" s="13"/>
    </row>
    <row r="832">
      <c r="D832" s="14"/>
      <c r="M832" s="13"/>
    </row>
    <row r="833">
      <c r="D833" s="14"/>
      <c r="M833" s="13"/>
    </row>
    <row r="834">
      <c r="D834" s="14"/>
      <c r="M834" s="13"/>
    </row>
    <row r="835">
      <c r="D835" s="14"/>
      <c r="M835" s="13"/>
    </row>
    <row r="836">
      <c r="D836" s="14"/>
      <c r="M836" s="13"/>
    </row>
    <row r="837">
      <c r="D837" s="14"/>
      <c r="M837" s="13"/>
    </row>
    <row r="838">
      <c r="D838" s="14"/>
      <c r="M838" s="13"/>
    </row>
    <row r="839">
      <c r="D839" s="14"/>
      <c r="M839" s="13"/>
    </row>
    <row r="840">
      <c r="D840" s="14"/>
      <c r="M840" s="13"/>
    </row>
    <row r="841">
      <c r="D841" s="14"/>
      <c r="M841" s="13"/>
    </row>
    <row r="842">
      <c r="D842" s="14"/>
      <c r="M842" s="13"/>
    </row>
    <row r="843">
      <c r="D843" s="14"/>
      <c r="M843" s="13"/>
    </row>
    <row r="844">
      <c r="D844" s="14"/>
      <c r="M844" s="13"/>
    </row>
    <row r="845">
      <c r="D845" s="14"/>
      <c r="M845" s="13"/>
    </row>
    <row r="846">
      <c r="D846" s="14"/>
      <c r="M846" s="13"/>
    </row>
    <row r="847">
      <c r="D847" s="14"/>
      <c r="M847" s="13"/>
    </row>
    <row r="848">
      <c r="D848" s="14"/>
      <c r="M848" s="13"/>
    </row>
    <row r="849">
      <c r="D849" s="14"/>
      <c r="M849" s="13"/>
    </row>
    <row r="850">
      <c r="D850" s="14"/>
      <c r="M850" s="13"/>
    </row>
    <row r="851">
      <c r="D851" s="14"/>
      <c r="M851" s="13"/>
    </row>
    <row r="852">
      <c r="D852" s="14"/>
      <c r="M852" s="13"/>
    </row>
    <row r="853">
      <c r="D853" s="14"/>
      <c r="M853" s="13"/>
    </row>
    <row r="854">
      <c r="D854" s="14"/>
      <c r="M854" s="13"/>
    </row>
    <row r="855">
      <c r="D855" s="14"/>
      <c r="M855" s="13"/>
    </row>
    <row r="856">
      <c r="D856" s="14"/>
      <c r="M856" s="13"/>
    </row>
    <row r="857">
      <c r="D857" s="14"/>
      <c r="M857" s="13"/>
    </row>
    <row r="858">
      <c r="D858" s="14"/>
      <c r="M858" s="13"/>
    </row>
    <row r="859">
      <c r="D859" s="14"/>
      <c r="M859" s="13"/>
    </row>
    <row r="860">
      <c r="D860" s="14"/>
      <c r="M860" s="13"/>
    </row>
    <row r="861">
      <c r="D861" s="14"/>
      <c r="M861" s="13"/>
    </row>
    <row r="862">
      <c r="D862" s="14"/>
      <c r="M862" s="13"/>
    </row>
    <row r="863">
      <c r="D863" s="14"/>
      <c r="M863" s="13"/>
    </row>
    <row r="864">
      <c r="D864" s="14"/>
      <c r="M864" s="13"/>
    </row>
    <row r="865">
      <c r="D865" s="14"/>
      <c r="M865" s="13"/>
    </row>
    <row r="866">
      <c r="D866" s="14"/>
      <c r="M866" s="13"/>
    </row>
    <row r="867">
      <c r="D867" s="14"/>
      <c r="M867" s="13"/>
    </row>
    <row r="868">
      <c r="D868" s="14"/>
      <c r="M868" s="13"/>
    </row>
    <row r="869">
      <c r="D869" s="14"/>
      <c r="M869" s="13"/>
    </row>
    <row r="870">
      <c r="D870" s="14"/>
      <c r="M870" s="13"/>
    </row>
    <row r="871">
      <c r="D871" s="14"/>
      <c r="M871" s="13"/>
    </row>
    <row r="872">
      <c r="D872" s="14"/>
      <c r="M872" s="13"/>
    </row>
    <row r="873">
      <c r="D873" s="14"/>
      <c r="M873" s="13"/>
    </row>
    <row r="874">
      <c r="D874" s="14"/>
      <c r="M874" s="13"/>
    </row>
    <row r="875">
      <c r="D875" s="14"/>
      <c r="M875" s="13"/>
    </row>
    <row r="876">
      <c r="D876" s="14"/>
      <c r="M876" s="13"/>
    </row>
    <row r="877">
      <c r="D877" s="14"/>
      <c r="M877" s="13"/>
    </row>
    <row r="878">
      <c r="D878" s="14"/>
      <c r="M878" s="13"/>
    </row>
    <row r="879">
      <c r="D879" s="14"/>
      <c r="M879" s="13"/>
    </row>
    <row r="880">
      <c r="D880" s="14"/>
      <c r="M880" s="13"/>
    </row>
    <row r="881">
      <c r="D881" s="14"/>
      <c r="M881" s="13"/>
    </row>
    <row r="882">
      <c r="D882" s="14"/>
      <c r="M882" s="13"/>
    </row>
    <row r="883">
      <c r="D883" s="14"/>
      <c r="M883" s="13"/>
    </row>
    <row r="884">
      <c r="D884" s="14"/>
      <c r="M884" s="13"/>
    </row>
    <row r="885">
      <c r="D885" s="14"/>
      <c r="M885" s="13"/>
    </row>
    <row r="886">
      <c r="D886" s="14"/>
      <c r="M886" s="13"/>
    </row>
    <row r="887">
      <c r="D887" s="14"/>
      <c r="M887" s="13"/>
    </row>
    <row r="888">
      <c r="D888" s="14"/>
      <c r="M888" s="13"/>
    </row>
    <row r="889">
      <c r="D889" s="14"/>
      <c r="M889" s="13"/>
    </row>
    <row r="890">
      <c r="D890" s="14"/>
      <c r="M890" s="13"/>
    </row>
    <row r="891">
      <c r="D891" s="14"/>
      <c r="M891" s="13"/>
    </row>
    <row r="892">
      <c r="D892" s="14"/>
      <c r="M892" s="13"/>
    </row>
    <row r="893">
      <c r="D893" s="14"/>
      <c r="M893" s="13"/>
    </row>
    <row r="894">
      <c r="D894" s="14"/>
      <c r="M894" s="13"/>
    </row>
    <row r="895">
      <c r="D895" s="14"/>
      <c r="M895" s="13"/>
    </row>
    <row r="896">
      <c r="D896" s="14"/>
      <c r="M896" s="13"/>
    </row>
    <row r="897">
      <c r="D897" s="14"/>
      <c r="M897" s="13"/>
    </row>
    <row r="898">
      <c r="D898" s="14"/>
      <c r="M898" s="13"/>
    </row>
    <row r="899">
      <c r="D899" s="14"/>
      <c r="M899" s="13"/>
    </row>
    <row r="900">
      <c r="D900" s="14"/>
      <c r="M900" s="13"/>
    </row>
    <row r="901">
      <c r="D901" s="14"/>
      <c r="M901" s="13"/>
    </row>
    <row r="902">
      <c r="D902" s="14"/>
      <c r="M902" s="13"/>
    </row>
    <row r="903">
      <c r="D903" s="14"/>
      <c r="M903" s="13"/>
    </row>
    <row r="904">
      <c r="D904" s="14"/>
      <c r="M904" s="13"/>
    </row>
    <row r="905">
      <c r="D905" s="14"/>
      <c r="M905" s="13"/>
    </row>
    <row r="906">
      <c r="D906" s="14"/>
      <c r="M906" s="13"/>
    </row>
    <row r="907">
      <c r="D907" s="14"/>
      <c r="M907" s="13"/>
    </row>
    <row r="908">
      <c r="D908" s="14"/>
      <c r="M908" s="13"/>
    </row>
    <row r="909">
      <c r="D909" s="14"/>
      <c r="M909" s="13"/>
    </row>
    <row r="910">
      <c r="D910" s="14"/>
      <c r="M910" s="13"/>
    </row>
    <row r="911">
      <c r="D911" s="14"/>
      <c r="M911" s="13"/>
    </row>
    <row r="912">
      <c r="D912" s="14"/>
      <c r="M912" s="13"/>
    </row>
    <row r="913">
      <c r="D913" s="14"/>
      <c r="M913" s="13"/>
    </row>
    <row r="914">
      <c r="D914" s="14"/>
      <c r="M914" s="13"/>
    </row>
    <row r="915">
      <c r="D915" s="14"/>
      <c r="M915" s="13"/>
    </row>
    <row r="916">
      <c r="D916" s="14"/>
      <c r="M916" s="13"/>
    </row>
    <row r="917">
      <c r="D917" s="14"/>
      <c r="M917" s="13"/>
    </row>
    <row r="918">
      <c r="D918" s="14"/>
      <c r="M918" s="13"/>
    </row>
    <row r="919">
      <c r="D919" s="14"/>
      <c r="M919" s="13"/>
    </row>
    <row r="920">
      <c r="D920" s="14"/>
      <c r="M920" s="13"/>
    </row>
    <row r="921">
      <c r="D921" s="14"/>
      <c r="M921" s="13"/>
    </row>
    <row r="922">
      <c r="D922" s="14"/>
      <c r="M922" s="13"/>
    </row>
    <row r="923">
      <c r="D923" s="14"/>
      <c r="M923" s="13"/>
    </row>
    <row r="924">
      <c r="D924" s="14"/>
      <c r="M924" s="13"/>
    </row>
    <row r="925">
      <c r="D925" s="14"/>
      <c r="M925" s="13"/>
    </row>
    <row r="926">
      <c r="D926" s="14"/>
      <c r="M926" s="13"/>
    </row>
    <row r="927">
      <c r="D927" s="14"/>
      <c r="M927" s="13"/>
    </row>
    <row r="928">
      <c r="D928" s="14"/>
      <c r="M928" s="13"/>
    </row>
    <row r="929">
      <c r="D929" s="14"/>
      <c r="M929" s="13"/>
    </row>
    <row r="930">
      <c r="D930" s="14"/>
      <c r="M930" s="13"/>
    </row>
    <row r="931">
      <c r="D931" s="14"/>
      <c r="M931" s="13"/>
    </row>
    <row r="932">
      <c r="D932" s="14"/>
      <c r="M932" s="13"/>
    </row>
    <row r="933">
      <c r="D933" s="14"/>
      <c r="M933" s="13"/>
    </row>
    <row r="934">
      <c r="D934" s="14"/>
      <c r="M934" s="13"/>
    </row>
    <row r="935">
      <c r="D935" s="14"/>
      <c r="M935" s="13"/>
    </row>
    <row r="936">
      <c r="D936" s="14"/>
      <c r="M936" s="13"/>
    </row>
    <row r="937">
      <c r="D937" s="14"/>
      <c r="M937" s="13"/>
    </row>
    <row r="938">
      <c r="D938" s="14"/>
      <c r="M938" s="13"/>
    </row>
    <row r="939">
      <c r="D939" s="14"/>
      <c r="M939" s="13"/>
    </row>
    <row r="940">
      <c r="D940" s="14"/>
      <c r="M940" s="13"/>
    </row>
    <row r="941">
      <c r="D941" s="14"/>
      <c r="M941" s="13"/>
    </row>
    <row r="942">
      <c r="D942" s="14"/>
      <c r="M942" s="13"/>
    </row>
    <row r="943">
      <c r="D943" s="14"/>
      <c r="M943" s="13"/>
    </row>
    <row r="944">
      <c r="D944" s="14"/>
      <c r="M944" s="13"/>
    </row>
    <row r="945">
      <c r="D945" s="14"/>
      <c r="M945" s="13"/>
    </row>
    <row r="946">
      <c r="D946" s="14"/>
      <c r="M946" s="13"/>
    </row>
    <row r="947">
      <c r="D947" s="14"/>
      <c r="M947" s="13"/>
    </row>
    <row r="948">
      <c r="D948" s="14"/>
      <c r="M948" s="13"/>
    </row>
    <row r="949">
      <c r="D949" s="14"/>
      <c r="M949" s="13"/>
    </row>
    <row r="950">
      <c r="D950" s="14"/>
      <c r="M950" s="13"/>
    </row>
    <row r="951">
      <c r="D951" s="14"/>
      <c r="M951" s="13"/>
    </row>
    <row r="952">
      <c r="D952" s="14"/>
      <c r="M952" s="13"/>
    </row>
    <row r="953">
      <c r="D953" s="14"/>
      <c r="M953" s="13"/>
    </row>
    <row r="954">
      <c r="D954" s="14"/>
      <c r="M954" s="13"/>
    </row>
    <row r="955">
      <c r="D955" s="14"/>
      <c r="M955" s="13"/>
    </row>
    <row r="956">
      <c r="D956" s="14"/>
      <c r="M956" s="13"/>
    </row>
    <row r="957">
      <c r="D957" s="14"/>
      <c r="M957" s="13"/>
    </row>
    <row r="958">
      <c r="D958" s="14"/>
      <c r="M958" s="13"/>
    </row>
    <row r="959">
      <c r="D959" s="14"/>
      <c r="M959" s="13"/>
    </row>
    <row r="960">
      <c r="D960" s="14"/>
      <c r="M960" s="13"/>
    </row>
    <row r="961">
      <c r="D961" s="14"/>
      <c r="M961" s="13"/>
    </row>
    <row r="962">
      <c r="D962" s="14"/>
      <c r="M962" s="13"/>
    </row>
    <row r="963">
      <c r="D963" s="14"/>
      <c r="M963" s="13"/>
    </row>
    <row r="964">
      <c r="D964" s="14"/>
      <c r="M964" s="13"/>
    </row>
    <row r="965">
      <c r="D965" s="14"/>
      <c r="M965" s="13"/>
    </row>
    <row r="966">
      <c r="D966" s="14"/>
      <c r="M966" s="13"/>
    </row>
    <row r="967">
      <c r="D967" s="14"/>
      <c r="M967" s="13"/>
    </row>
    <row r="968">
      <c r="D968" s="14"/>
      <c r="M968" s="13"/>
    </row>
    <row r="969">
      <c r="D969" s="14"/>
      <c r="M969" s="13"/>
    </row>
    <row r="970">
      <c r="D970" s="14"/>
      <c r="M970" s="13"/>
    </row>
    <row r="971">
      <c r="D971" s="14"/>
      <c r="M971" s="13"/>
    </row>
    <row r="972">
      <c r="D972" s="14"/>
      <c r="M972" s="13"/>
    </row>
    <row r="973">
      <c r="D973" s="14"/>
      <c r="M973" s="13"/>
    </row>
    <row r="974">
      <c r="D974" s="14"/>
      <c r="M974" s="13"/>
    </row>
    <row r="975">
      <c r="D975" s="14"/>
      <c r="M975" s="13"/>
    </row>
    <row r="976">
      <c r="D976" s="14"/>
      <c r="M976" s="13"/>
    </row>
    <row r="977">
      <c r="D977" s="14"/>
      <c r="M977" s="13"/>
    </row>
    <row r="978">
      <c r="D978" s="14"/>
      <c r="M978" s="13"/>
    </row>
    <row r="979">
      <c r="D979" s="14"/>
      <c r="M979" s="13"/>
    </row>
    <row r="980">
      <c r="D980" s="14"/>
      <c r="M980" s="13"/>
    </row>
    <row r="981">
      <c r="D981" s="14"/>
      <c r="M981" s="13"/>
    </row>
    <row r="982">
      <c r="D982" s="14"/>
      <c r="M982" s="13"/>
    </row>
    <row r="983">
      <c r="D983" s="14"/>
      <c r="M983" s="13"/>
    </row>
    <row r="984">
      <c r="D984" s="14"/>
      <c r="M984" s="13"/>
    </row>
    <row r="985">
      <c r="D985" s="14"/>
      <c r="M985" s="13"/>
    </row>
    <row r="986">
      <c r="D986" s="14"/>
      <c r="M986" s="13"/>
    </row>
    <row r="987">
      <c r="D987" s="14"/>
      <c r="M987" s="13"/>
    </row>
    <row r="988">
      <c r="D988" s="14"/>
      <c r="M988" s="13"/>
    </row>
    <row r="989">
      <c r="D989" s="14"/>
      <c r="M989" s="13"/>
    </row>
    <row r="990">
      <c r="D990" s="14"/>
      <c r="M990" s="13"/>
    </row>
    <row r="991">
      <c r="D991" s="14"/>
      <c r="M991" s="13"/>
    </row>
    <row r="992">
      <c r="D992" s="14"/>
      <c r="M992" s="13"/>
    </row>
    <row r="993">
      <c r="D993" s="14"/>
      <c r="M993" s="13"/>
    </row>
    <row r="994">
      <c r="D994" s="14"/>
      <c r="M994" s="13"/>
    </row>
    <row r="995">
      <c r="D995" s="14"/>
      <c r="M995" s="13"/>
    </row>
    <row r="996">
      <c r="D996" s="14"/>
      <c r="M996" s="13"/>
    </row>
    <row r="997">
      <c r="D997" s="14"/>
      <c r="M997" s="13"/>
    </row>
    <row r="998">
      <c r="D998" s="14"/>
      <c r="M998" s="13"/>
    </row>
    <row r="999">
      <c r="D999" s="14"/>
      <c r="M999" s="13"/>
    </row>
    <row r="1000">
      <c r="D1000" s="14"/>
      <c r="M1000" s="13"/>
    </row>
    <row r="1001">
      <c r="D1001" s="14"/>
      <c r="M1001" s="13"/>
    </row>
    <row r="1002">
      <c r="D1002" s="14"/>
      <c r="M1002" s="13"/>
    </row>
    <row r="1003">
      <c r="D1003" s="14"/>
      <c r="M1003" s="13"/>
    </row>
    <row r="1004">
      <c r="D1004" s="14"/>
      <c r="M1004" s="13"/>
    </row>
  </sheetData>
  <mergeCells count="1">
    <mergeCell ref="D26:K27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9" max="9" width="19.25"/>
    <col customWidth="1" min="12" max="12" width="22.25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91" t="s">
        <v>6</v>
      </c>
      <c r="J1" s="15" t="s">
        <v>207</v>
      </c>
    </row>
    <row r="2">
      <c r="A2" s="1" t="s">
        <v>25</v>
      </c>
      <c r="B2" s="1" t="s">
        <v>412</v>
      </c>
      <c r="C2" s="1" t="s">
        <v>413</v>
      </c>
      <c r="D2" s="11">
        <v>100000.0</v>
      </c>
      <c r="F2" s="40"/>
      <c r="J2" s="93">
        <v>0.2</v>
      </c>
    </row>
    <row r="3">
      <c r="A3" s="1" t="s">
        <v>25</v>
      </c>
      <c r="B3" s="1" t="s">
        <v>415</v>
      </c>
      <c r="C3" s="1" t="s">
        <v>413</v>
      </c>
      <c r="D3" s="11">
        <v>200000.0</v>
      </c>
      <c r="J3" s="1">
        <v>21.0</v>
      </c>
    </row>
    <row r="4">
      <c r="A4" s="1" t="s">
        <v>25</v>
      </c>
      <c r="B4" s="1" t="s">
        <v>415</v>
      </c>
      <c r="C4" s="1" t="s">
        <v>413</v>
      </c>
      <c r="D4" s="11">
        <v>300000.0</v>
      </c>
      <c r="J4" s="1">
        <v>21.0</v>
      </c>
    </row>
    <row r="5">
      <c r="D5" s="14"/>
      <c r="E5" s="1" t="s">
        <v>135</v>
      </c>
      <c r="F5" s="1">
        <v>14000.0</v>
      </c>
    </row>
    <row r="6">
      <c r="D6" s="14"/>
      <c r="E6" s="1" t="s">
        <v>160</v>
      </c>
      <c r="F6" s="1">
        <v>20000.0</v>
      </c>
    </row>
    <row r="7">
      <c r="D7" s="14"/>
      <c r="E7" s="1" t="s">
        <v>304</v>
      </c>
      <c r="F7" s="1">
        <v>105000.0</v>
      </c>
    </row>
    <row r="8">
      <c r="D8" s="14"/>
      <c r="E8" s="1" t="s">
        <v>237</v>
      </c>
      <c r="F8" s="1">
        <v>125000.0</v>
      </c>
    </row>
    <row r="9">
      <c r="A9" s="1" t="s">
        <v>25</v>
      </c>
      <c r="B9" s="1" t="s">
        <v>417</v>
      </c>
      <c r="C9" s="1" t="s">
        <v>413</v>
      </c>
      <c r="D9" s="11">
        <v>275000.0</v>
      </c>
    </row>
    <row r="10">
      <c r="D10" s="11">
        <v>125000.0</v>
      </c>
      <c r="E10" s="1" t="s">
        <v>417</v>
      </c>
      <c r="F10" s="1">
        <v>125000.0</v>
      </c>
    </row>
    <row r="11">
      <c r="D11" s="14"/>
    </row>
    <row r="12">
      <c r="D12" s="14"/>
      <c r="H12" s="15" t="s">
        <v>26</v>
      </c>
      <c r="J12" s="59" t="s">
        <v>106</v>
      </c>
    </row>
    <row r="13">
      <c r="D13" s="14">
        <f>SUM(D2:D12)</f>
        <v>1000000</v>
      </c>
      <c r="F13" s="40">
        <f>SUM(F2:F10)</f>
        <v>389000</v>
      </c>
      <c r="H13" s="18">
        <f>F13/D13</f>
        <v>0.389</v>
      </c>
      <c r="J13" s="59">
        <f>(D13)*5/100</f>
        <v>50000</v>
      </c>
      <c r="K13" s="1" t="s">
        <v>249</v>
      </c>
    </row>
    <row r="14">
      <c r="D14" s="14"/>
      <c r="J14" s="59">
        <f t="shared" ref="J14:J15" si="1">J13</f>
        <v>50000</v>
      </c>
      <c r="K14" s="1" t="s">
        <v>403</v>
      </c>
    </row>
    <row r="15">
      <c r="D15" s="14"/>
      <c r="J15" s="59">
        <f t="shared" si="1"/>
        <v>50000</v>
      </c>
      <c r="K15" s="1" t="s">
        <v>254</v>
      </c>
    </row>
    <row r="16">
      <c r="D16" s="14"/>
    </row>
    <row r="17">
      <c r="D17" s="14"/>
    </row>
    <row r="18">
      <c r="D18" s="14"/>
    </row>
    <row r="19">
      <c r="C19" s="22" t="s">
        <v>41</v>
      </c>
      <c r="D19" s="23"/>
      <c r="E19" s="23"/>
      <c r="F19" s="23"/>
      <c r="G19" s="23"/>
      <c r="H19" s="23"/>
      <c r="I19" s="23"/>
      <c r="J19" s="24"/>
    </row>
    <row r="20">
      <c r="C20" s="27"/>
      <c r="D20" s="28"/>
      <c r="E20" s="28"/>
      <c r="F20" s="28"/>
      <c r="G20" s="28"/>
      <c r="H20" s="28"/>
      <c r="I20" s="28"/>
      <c r="J20" s="29"/>
    </row>
    <row r="21">
      <c r="C21" s="32"/>
      <c r="D21" s="32" t="s">
        <v>49</v>
      </c>
      <c r="E21" s="32" t="s">
        <v>51</v>
      </c>
      <c r="F21" s="32" t="s">
        <v>52</v>
      </c>
      <c r="G21" s="32"/>
      <c r="H21" s="32" t="s">
        <v>352</v>
      </c>
      <c r="I21" s="32" t="s">
        <v>56</v>
      </c>
      <c r="J21" s="32" t="s">
        <v>57</v>
      </c>
    </row>
    <row r="22">
      <c r="C22" s="1" t="s">
        <v>59</v>
      </c>
      <c r="D22" s="11">
        <f>SUM(D2:D4)</f>
        <v>600000</v>
      </c>
      <c r="E22" s="1">
        <v>3.0</v>
      </c>
      <c r="F22" s="38">
        <v>6.5</v>
      </c>
      <c r="H22" s="17">
        <f t="shared" ref="H22:H23" si="2">D22*E22/100</f>
        <v>18000</v>
      </c>
      <c r="I22" s="17">
        <f t="shared" ref="I22:I23" si="3">H22*F22</f>
        <v>117000</v>
      </c>
      <c r="J22" s="14">
        <f t="shared" ref="J22:J23" si="4">D22+I22</f>
        <v>717000</v>
      </c>
    </row>
    <row r="23">
      <c r="C23" s="1" t="s">
        <v>111</v>
      </c>
      <c r="D23" s="11">
        <f>D9+F10</f>
        <v>400000</v>
      </c>
      <c r="E23" s="1">
        <v>3.0</v>
      </c>
      <c r="F23" s="38">
        <v>3.0</v>
      </c>
      <c r="H23" s="17">
        <f t="shared" si="2"/>
        <v>12000</v>
      </c>
      <c r="I23" s="17">
        <f t="shared" si="3"/>
        <v>36000</v>
      </c>
      <c r="J23" s="14">
        <f t="shared" si="4"/>
        <v>436000</v>
      </c>
    </row>
    <row r="24">
      <c r="D24" s="11"/>
      <c r="F24" s="38"/>
    </row>
    <row r="25">
      <c r="D25" s="14"/>
      <c r="F25" s="40"/>
    </row>
    <row r="26">
      <c r="D26" s="14"/>
      <c r="F26" s="40"/>
      <c r="J26" s="19">
        <f>SUM(J22:J24)</f>
        <v>1153000</v>
      </c>
    </row>
    <row r="27">
      <c r="D27" s="14"/>
      <c r="F27" s="40"/>
    </row>
    <row r="28">
      <c r="H28" s="39" t="s">
        <v>62</v>
      </c>
      <c r="J28" s="95">
        <f>F13</f>
        <v>389000</v>
      </c>
    </row>
    <row r="30">
      <c r="H30" s="39" t="s">
        <v>72</v>
      </c>
      <c r="J30" s="60">
        <f>J26-J28</f>
        <v>764000</v>
      </c>
      <c r="L30" s="47" t="s">
        <v>69</v>
      </c>
    </row>
    <row r="31">
      <c r="L31" s="124">
        <f>J30/3</f>
        <v>254666.6667</v>
      </c>
      <c r="M31" s="1" t="s">
        <v>79</v>
      </c>
    </row>
    <row r="32">
      <c r="D32" s="14"/>
      <c r="L32" s="124">
        <f t="shared" ref="L32:L33" si="5">L31</f>
        <v>254666.6667</v>
      </c>
      <c r="M32" s="1" t="s">
        <v>82</v>
      </c>
    </row>
    <row r="33">
      <c r="D33" s="14"/>
      <c r="L33" s="124">
        <f t="shared" si="5"/>
        <v>254666.6667</v>
      </c>
      <c r="M33" s="1" t="s">
        <v>84</v>
      </c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mergeCells count="1">
    <mergeCell ref="C19:J20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8.13"/>
    <col customWidth="1" min="4" max="4" width="18.25"/>
    <col customWidth="1" min="5" max="5" width="14.25"/>
    <col customWidth="1" min="6" max="6" width="15.88"/>
    <col customWidth="1" min="9" max="9" width="15.75"/>
    <col customWidth="1" min="10" max="11" width="27.63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91" t="s">
        <v>6</v>
      </c>
      <c r="J1" s="15" t="s">
        <v>207</v>
      </c>
    </row>
    <row r="2">
      <c r="A2" s="1" t="s">
        <v>25</v>
      </c>
      <c r="B2" s="1" t="s">
        <v>285</v>
      </c>
      <c r="C2" s="1" t="s">
        <v>411</v>
      </c>
      <c r="D2" s="11">
        <v>100000.0</v>
      </c>
      <c r="F2" s="40"/>
      <c r="J2" s="93">
        <v>0.3</v>
      </c>
    </row>
    <row r="3">
      <c r="A3" s="1" t="s">
        <v>14</v>
      </c>
      <c r="E3" s="1" t="s">
        <v>253</v>
      </c>
      <c r="F3" s="1">
        <v>30000.0</v>
      </c>
    </row>
    <row r="4">
      <c r="A4" s="1" t="s">
        <v>25</v>
      </c>
      <c r="B4" s="122">
        <v>45129.0</v>
      </c>
      <c r="C4" s="1" t="s">
        <v>411</v>
      </c>
      <c r="D4" s="11">
        <v>100000.0</v>
      </c>
      <c r="J4" s="93">
        <v>0.32</v>
      </c>
    </row>
    <row r="5">
      <c r="A5" s="1" t="s">
        <v>14</v>
      </c>
      <c r="E5" s="1" t="s">
        <v>414</v>
      </c>
      <c r="F5" s="1">
        <v>30000.0</v>
      </c>
    </row>
    <row r="6">
      <c r="A6" s="1" t="s">
        <v>14</v>
      </c>
      <c r="E6" s="1" t="s">
        <v>272</v>
      </c>
      <c r="F6" s="1">
        <v>9600.0</v>
      </c>
    </row>
    <row r="7">
      <c r="A7" s="1" t="s">
        <v>14</v>
      </c>
      <c r="E7" s="1" t="s">
        <v>416</v>
      </c>
      <c r="F7" s="1">
        <v>30000.0</v>
      </c>
    </row>
    <row r="8">
      <c r="A8" s="1" t="s">
        <v>14</v>
      </c>
      <c r="D8" s="11"/>
      <c r="E8" s="1" t="s">
        <v>172</v>
      </c>
      <c r="F8" s="1">
        <v>30000.0</v>
      </c>
    </row>
    <row r="9">
      <c r="A9" s="1" t="s">
        <v>14</v>
      </c>
      <c r="E9" s="1" t="s">
        <v>172</v>
      </c>
      <c r="F9" s="1">
        <v>25000.0</v>
      </c>
    </row>
    <row r="10">
      <c r="A10" s="1" t="s">
        <v>14</v>
      </c>
      <c r="E10" s="1" t="s">
        <v>273</v>
      </c>
      <c r="F10" s="1">
        <v>7000.0</v>
      </c>
    </row>
    <row r="11">
      <c r="A11" s="1" t="s">
        <v>14</v>
      </c>
      <c r="E11" s="1" t="s">
        <v>217</v>
      </c>
      <c r="F11" s="1">
        <v>32000.0</v>
      </c>
    </row>
    <row r="12">
      <c r="A12" s="1" t="s">
        <v>14</v>
      </c>
      <c r="E12" s="1" t="s">
        <v>217</v>
      </c>
      <c r="F12" s="1">
        <v>30000.0</v>
      </c>
    </row>
    <row r="13">
      <c r="A13" s="1" t="s">
        <v>14</v>
      </c>
      <c r="E13" s="1" t="s">
        <v>229</v>
      </c>
      <c r="F13" s="1">
        <v>32000.0</v>
      </c>
    </row>
    <row r="14">
      <c r="A14" s="1" t="s">
        <v>14</v>
      </c>
      <c r="E14" s="1" t="s">
        <v>127</v>
      </c>
      <c r="F14" s="1">
        <v>30000.0</v>
      </c>
    </row>
    <row r="15">
      <c r="A15" s="1" t="s">
        <v>14</v>
      </c>
      <c r="E15" s="1" t="s">
        <v>135</v>
      </c>
      <c r="F15" s="1">
        <v>32000.0</v>
      </c>
    </row>
    <row r="16">
      <c r="A16" s="1" t="s">
        <v>14</v>
      </c>
      <c r="E16" s="1" t="s">
        <v>63</v>
      </c>
      <c r="F16" s="1">
        <v>30000.0</v>
      </c>
    </row>
    <row r="17">
      <c r="A17" s="1" t="s">
        <v>14</v>
      </c>
      <c r="E17" s="1" t="s">
        <v>418</v>
      </c>
      <c r="F17" s="1">
        <v>30000.0</v>
      </c>
    </row>
    <row r="18">
      <c r="A18" s="1" t="s">
        <v>14</v>
      </c>
      <c r="E18" s="1" t="s">
        <v>341</v>
      </c>
      <c r="F18" s="1">
        <v>30000.0</v>
      </c>
    </row>
    <row r="19">
      <c r="A19" s="1" t="s">
        <v>14</v>
      </c>
      <c r="E19" s="1" t="s">
        <v>91</v>
      </c>
      <c r="F19" s="1">
        <v>32000.0</v>
      </c>
    </row>
    <row r="23">
      <c r="D23" s="14"/>
      <c r="H23" s="15" t="s">
        <v>26</v>
      </c>
      <c r="J23" s="16" t="s">
        <v>177</v>
      </c>
      <c r="K23" s="20"/>
    </row>
    <row r="24">
      <c r="D24" s="14">
        <f>SUM(D2:D20)</f>
        <v>200000</v>
      </c>
      <c r="F24" s="40">
        <f>SUM(F2:F20)</f>
        <v>439600</v>
      </c>
      <c r="H24" s="18">
        <f>F24/D24</f>
        <v>2.198</v>
      </c>
      <c r="J24" s="16"/>
      <c r="K24" s="15" t="s">
        <v>249</v>
      </c>
    </row>
    <row r="25">
      <c r="D25" s="14"/>
      <c r="J25" s="16"/>
      <c r="K25" s="15" t="s">
        <v>419</v>
      </c>
    </row>
    <row r="26">
      <c r="D26" s="14"/>
      <c r="J26" s="16"/>
      <c r="K26" s="15" t="s">
        <v>254</v>
      </c>
    </row>
    <row r="27">
      <c r="D27" s="14"/>
    </row>
    <row r="28">
      <c r="D28" s="14"/>
    </row>
    <row r="29">
      <c r="D29" s="14"/>
    </row>
    <row r="30">
      <c r="C30" s="22" t="s">
        <v>41</v>
      </c>
      <c r="D30" s="23"/>
      <c r="E30" s="23"/>
      <c r="F30" s="23"/>
      <c r="G30" s="23"/>
      <c r="H30" s="23"/>
      <c r="I30" s="23"/>
      <c r="J30" s="24"/>
    </row>
    <row r="31">
      <c r="C31" s="27"/>
      <c r="D31" s="28"/>
      <c r="E31" s="28"/>
      <c r="F31" s="28"/>
      <c r="G31" s="28"/>
      <c r="H31" s="28"/>
      <c r="I31" s="28"/>
      <c r="J31" s="29"/>
    </row>
    <row r="32">
      <c r="C32" s="32"/>
      <c r="D32" s="32" t="s">
        <v>49</v>
      </c>
      <c r="E32" s="32" t="s">
        <v>51</v>
      </c>
      <c r="F32" s="32" t="s">
        <v>52</v>
      </c>
      <c r="G32" s="32"/>
      <c r="H32" s="32" t="s">
        <v>352</v>
      </c>
      <c r="I32" s="32" t="s">
        <v>56</v>
      </c>
      <c r="J32" s="32" t="s">
        <v>57</v>
      </c>
    </row>
    <row r="33">
      <c r="C33" s="1" t="s">
        <v>59</v>
      </c>
      <c r="D33" s="11">
        <f>D2</f>
        <v>100000</v>
      </c>
      <c r="E33" s="1">
        <v>3.0</v>
      </c>
      <c r="F33" s="38">
        <v>11.0</v>
      </c>
      <c r="H33" s="17">
        <f t="shared" ref="H33:H34" si="1">D33*E33/100</f>
        <v>3000</v>
      </c>
      <c r="I33" s="17">
        <f t="shared" ref="I33:I34" si="2">H33*F33</f>
        <v>33000</v>
      </c>
      <c r="J33" s="14">
        <f t="shared" ref="J33:J34" si="3">D33+I33</f>
        <v>133000</v>
      </c>
    </row>
    <row r="34">
      <c r="C34" s="1" t="s">
        <v>111</v>
      </c>
      <c r="D34" s="11">
        <f>D4</f>
        <v>100000</v>
      </c>
      <c r="E34" s="1">
        <v>3.0</v>
      </c>
      <c r="F34" s="38">
        <v>9.0</v>
      </c>
      <c r="H34" s="17">
        <f t="shared" si="1"/>
        <v>3000</v>
      </c>
      <c r="I34" s="17">
        <f t="shared" si="2"/>
        <v>27000</v>
      </c>
      <c r="J34" s="14">
        <f t="shared" si="3"/>
        <v>127000</v>
      </c>
    </row>
    <row r="35">
      <c r="D35" s="11"/>
      <c r="F35" s="38"/>
    </row>
    <row r="36">
      <c r="D36" s="14"/>
      <c r="F36" s="40"/>
    </row>
    <row r="37">
      <c r="D37" s="14"/>
      <c r="F37" s="40"/>
      <c r="J37" s="19">
        <f>SUM(J33:J35)</f>
        <v>260000</v>
      </c>
    </row>
    <row r="38">
      <c r="D38" s="14"/>
      <c r="F38" s="40"/>
    </row>
    <row r="39">
      <c r="H39" s="39" t="s">
        <v>62</v>
      </c>
      <c r="J39" s="95">
        <f>F24</f>
        <v>439600</v>
      </c>
    </row>
    <row r="41">
      <c r="H41" s="39" t="s">
        <v>72</v>
      </c>
      <c r="J41" s="60">
        <f>J37-J39</f>
        <v>-179600</v>
      </c>
      <c r="L41" s="47" t="s">
        <v>69</v>
      </c>
    </row>
    <row r="42">
      <c r="L42" s="124">
        <f>J41/3</f>
        <v>-59866.66667</v>
      </c>
      <c r="M42" s="1" t="s">
        <v>79</v>
      </c>
    </row>
    <row r="43">
      <c r="D43" s="14"/>
      <c r="L43" s="124">
        <f t="shared" ref="L43:L44" si="4">L42</f>
        <v>-59866.66667</v>
      </c>
      <c r="M43" s="1" t="s">
        <v>82</v>
      </c>
    </row>
    <row r="44">
      <c r="D44" s="14"/>
      <c r="L44" s="124">
        <f t="shared" si="4"/>
        <v>-59866.66667</v>
      </c>
      <c r="M44" s="1" t="s">
        <v>84</v>
      </c>
    </row>
    <row r="45">
      <c r="D45" s="14"/>
    </row>
    <row r="46">
      <c r="D46" s="14"/>
    </row>
    <row r="47">
      <c r="D47" s="14"/>
    </row>
  </sheetData>
  <mergeCells count="1">
    <mergeCell ref="C30:J31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97" t="s">
        <v>0</v>
      </c>
      <c r="B1" s="97" t="s">
        <v>2</v>
      </c>
      <c r="C1" s="98" t="s">
        <v>3</v>
      </c>
      <c r="D1" s="99" t="s">
        <v>4</v>
      </c>
      <c r="E1" s="97" t="s">
        <v>5</v>
      </c>
      <c r="F1" s="100" t="s">
        <v>6</v>
      </c>
      <c r="G1" s="101"/>
      <c r="H1" s="101"/>
      <c r="I1" s="101"/>
      <c r="J1" s="16" t="s">
        <v>207</v>
      </c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59" t="s">
        <v>25</v>
      </c>
      <c r="B2" s="59" t="s">
        <v>386</v>
      </c>
      <c r="C2" s="59" t="s">
        <v>420</v>
      </c>
      <c r="D2" s="102">
        <v>100000.0</v>
      </c>
      <c r="E2" s="101"/>
      <c r="F2" s="103"/>
      <c r="G2" s="101"/>
      <c r="H2" s="101"/>
      <c r="I2" s="101"/>
      <c r="J2" s="104">
        <v>0.1</v>
      </c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59" t="s">
        <v>14</v>
      </c>
      <c r="B3" s="101"/>
      <c r="C3" s="101"/>
      <c r="D3" s="101"/>
      <c r="E3" s="59" t="s">
        <v>15</v>
      </c>
      <c r="F3" s="59">
        <v>10000.0</v>
      </c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59" t="s">
        <v>14</v>
      </c>
      <c r="B4" s="101"/>
      <c r="C4" s="101"/>
      <c r="D4" s="101"/>
      <c r="E4" s="59" t="s">
        <v>293</v>
      </c>
      <c r="F4" s="59">
        <v>10000.0</v>
      </c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59" t="s">
        <v>14</v>
      </c>
      <c r="B5" s="101"/>
      <c r="C5" s="101"/>
      <c r="D5" s="102"/>
      <c r="E5" s="59" t="s">
        <v>334</v>
      </c>
      <c r="F5" s="59">
        <v>10000.0</v>
      </c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59" t="s">
        <v>14</v>
      </c>
      <c r="B6" s="101"/>
      <c r="C6" s="101"/>
      <c r="D6" s="101"/>
      <c r="E6" s="59" t="s">
        <v>410</v>
      </c>
      <c r="F6" s="59">
        <v>10000.0</v>
      </c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59" t="s">
        <v>14</v>
      </c>
      <c r="B7" s="101"/>
      <c r="C7" s="101"/>
      <c r="D7" s="101"/>
      <c r="E7" s="59" t="s">
        <v>16</v>
      </c>
      <c r="F7" s="59">
        <v>10000.0</v>
      </c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1"/>
      <c r="B20" s="101"/>
      <c r="C20" s="101"/>
      <c r="D20" s="107"/>
      <c r="E20" s="101"/>
      <c r="F20" s="101"/>
      <c r="G20" s="101"/>
      <c r="H20" s="16" t="s">
        <v>26</v>
      </c>
      <c r="I20" s="101"/>
      <c r="J20" s="16" t="s">
        <v>106</v>
      </c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101"/>
      <c r="B21" s="101"/>
      <c r="C21" s="101"/>
      <c r="D21" s="106">
        <f>SUM(D2:D17)</f>
        <v>100000</v>
      </c>
      <c r="E21" s="105"/>
      <c r="F21" s="125">
        <f>SUM(F2:F17)</f>
        <v>50000</v>
      </c>
      <c r="G21" s="101"/>
      <c r="H21" s="126">
        <f>F21/D21</f>
        <v>0.5</v>
      </c>
      <c r="I21" s="101"/>
      <c r="J21" s="59">
        <f>(D21-F21)*5/100</f>
        <v>2500</v>
      </c>
      <c r="K21" s="59" t="s">
        <v>249</v>
      </c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01"/>
      <c r="B22" s="101"/>
      <c r="C22" s="101"/>
      <c r="D22" s="107"/>
      <c r="E22" s="101"/>
      <c r="F22" s="101"/>
      <c r="G22" s="101"/>
      <c r="H22" s="101"/>
      <c r="I22" s="101"/>
      <c r="J22" s="59">
        <f t="shared" ref="J22:J23" si="1">J21</f>
        <v>2500</v>
      </c>
      <c r="K22" s="59" t="s">
        <v>252</v>
      </c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01"/>
      <c r="B23" s="101"/>
      <c r="C23" s="101"/>
      <c r="D23" s="107"/>
      <c r="E23" s="101"/>
      <c r="F23" s="101"/>
      <c r="G23" s="101"/>
      <c r="H23" s="101"/>
      <c r="I23" s="101"/>
      <c r="J23" s="59">
        <f t="shared" si="1"/>
        <v>2500</v>
      </c>
      <c r="K23" s="59" t="s">
        <v>254</v>
      </c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01"/>
      <c r="B24" s="101"/>
      <c r="C24" s="101"/>
      <c r="D24" s="107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01"/>
      <c r="B25" s="101"/>
      <c r="C25" s="101"/>
      <c r="D25" s="107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01"/>
      <c r="B26" s="101"/>
      <c r="C26" s="101"/>
      <c r="D26" s="107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01"/>
      <c r="B27" s="101"/>
      <c r="C27" s="111" t="s">
        <v>41</v>
      </c>
      <c r="D27" s="23"/>
      <c r="E27" s="23"/>
      <c r="F27" s="23"/>
      <c r="G27" s="23"/>
      <c r="H27" s="23"/>
      <c r="I27" s="23"/>
      <c r="J27" s="24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101"/>
      <c r="B28" s="101"/>
      <c r="C28" s="27"/>
      <c r="D28" s="28"/>
      <c r="E28" s="28"/>
      <c r="F28" s="28"/>
      <c r="G28" s="28"/>
      <c r="H28" s="28"/>
      <c r="I28" s="28"/>
      <c r="J28" s="29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101"/>
      <c r="B29" s="101"/>
      <c r="C29" s="113"/>
      <c r="D29" s="113" t="s">
        <v>49</v>
      </c>
      <c r="E29" s="113" t="s">
        <v>51</v>
      </c>
      <c r="F29" s="113" t="s">
        <v>52</v>
      </c>
      <c r="G29" s="113"/>
      <c r="H29" s="113" t="s">
        <v>352</v>
      </c>
      <c r="I29" s="113" t="s">
        <v>56</v>
      </c>
      <c r="J29" s="113" t="s">
        <v>57</v>
      </c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01"/>
      <c r="B30" s="101"/>
      <c r="C30" s="59" t="s">
        <v>59</v>
      </c>
      <c r="D30" s="102">
        <f>D2</f>
        <v>100000</v>
      </c>
      <c r="E30" s="59">
        <v>3.0</v>
      </c>
      <c r="F30" s="115">
        <v>6.0</v>
      </c>
      <c r="G30" s="101"/>
      <c r="H30" s="101">
        <f>D30*E30/100</f>
        <v>3000</v>
      </c>
      <c r="I30" s="101">
        <f>H30*F30</f>
        <v>18000</v>
      </c>
      <c r="J30" s="107">
        <f>D30+I30</f>
        <v>118000</v>
      </c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01"/>
      <c r="B31" s="101"/>
      <c r="C31" s="101"/>
      <c r="D31" s="102"/>
      <c r="E31" s="101"/>
      <c r="F31" s="115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1"/>
      <c r="B32" s="101"/>
      <c r="C32" s="101"/>
      <c r="D32" s="102"/>
      <c r="E32" s="101"/>
      <c r="F32" s="115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01"/>
      <c r="B33" s="101"/>
      <c r="C33" s="101"/>
      <c r="D33" s="107"/>
      <c r="E33" s="101"/>
      <c r="F33" s="103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01"/>
      <c r="B34" s="101"/>
      <c r="C34" s="101"/>
      <c r="D34" s="107"/>
      <c r="E34" s="101"/>
      <c r="F34" s="103"/>
      <c r="G34" s="101"/>
      <c r="H34" s="101"/>
      <c r="I34" s="101"/>
      <c r="J34" s="106">
        <f>SUM(J30:J32)</f>
        <v>118000</v>
      </c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101"/>
      <c r="B35" s="101"/>
      <c r="C35" s="101"/>
      <c r="D35" s="107"/>
      <c r="E35" s="101"/>
      <c r="F35" s="103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01"/>
      <c r="B36" s="101"/>
      <c r="C36" s="101"/>
      <c r="D36" s="101"/>
      <c r="E36" s="101"/>
      <c r="F36" s="101"/>
      <c r="G36" s="101"/>
      <c r="H36" s="117" t="s">
        <v>62</v>
      </c>
      <c r="I36" s="101"/>
      <c r="J36" s="125">
        <f>F21</f>
        <v>50000</v>
      </c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101"/>
      <c r="B38" s="101"/>
      <c r="C38" s="101"/>
      <c r="D38" s="101"/>
      <c r="E38" s="101"/>
      <c r="F38" s="101"/>
      <c r="G38" s="101"/>
      <c r="H38" s="117" t="s">
        <v>72</v>
      </c>
      <c r="I38" s="101"/>
      <c r="J38" s="118">
        <f>J34-J36</f>
        <v>68000</v>
      </c>
      <c r="K38" s="101"/>
      <c r="L38" s="47" t="s">
        <v>69</v>
      </c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27">
        <f>J38/3</f>
        <v>22666.66667</v>
      </c>
      <c r="M39" s="59" t="s">
        <v>79</v>
      </c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01"/>
      <c r="B40" s="101"/>
      <c r="C40" s="101"/>
      <c r="D40" s="107"/>
      <c r="E40" s="101"/>
      <c r="F40" s="101"/>
      <c r="G40" s="101"/>
      <c r="H40" s="101"/>
      <c r="I40" s="101"/>
      <c r="J40" s="101"/>
      <c r="K40" s="101"/>
      <c r="L40" s="127">
        <f t="shared" ref="L40:L41" si="2">L39</f>
        <v>22666.66667</v>
      </c>
      <c r="M40" s="59" t="s">
        <v>82</v>
      </c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01"/>
      <c r="B41" s="101"/>
      <c r="C41" s="101"/>
      <c r="D41" s="107"/>
      <c r="E41" s="101"/>
      <c r="F41" s="101"/>
      <c r="G41" s="101"/>
      <c r="H41" s="101"/>
      <c r="I41" s="101"/>
      <c r="J41" s="101"/>
      <c r="K41" s="101"/>
      <c r="L41" s="127">
        <f t="shared" si="2"/>
        <v>22666.66667</v>
      </c>
      <c r="M41" s="59" t="s">
        <v>84</v>
      </c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01"/>
      <c r="B42" s="101"/>
      <c r="C42" s="101"/>
      <c r="D42" s="107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101"/>
      <c r="B43" s="101"/>
      <c r="C43" s="101"/>
      <c r="D43" s="107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1"/>
      <c r="B44" s="101"/>
      <c r="C44" s="101"/>
      <c r="D44" s="107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</sheetData>
  <mergeCells count="1">
    <mergeCell ref="C27:J28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75"/>
    <col customWidth="1" min="3" max="3" width="20.75"/>
    <col customWidth="1" min="4" max="4" width="18.25"/>
    <col customWidth="1" min="5" max="5" width="14.25"/>
    <col customWidth="1" min="6" max="6" width="15.88"/>
    <col customWidth="1" min="8" max="8" width="19.75"/>
    <col customWidth="1" min="9" max="9" width="11.88"/>
    <col customWidth="1" min="10" max="10" width="13.38"/>
    <col customWidth="1" min="11" max="11" width="9.38"/>
    <col customWidth="1" min="12" max="12" width="11.88"/>
    <col customWidth="1" min="13" max="13" width="7.63"/>
  </cols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128" t="s">
        <v>6</v>
      </c>
    </row>
    <row r="2">
      <c r="A2" s="129" t="s">
        <v>25</v>
      </c>
      <c r="B2" s="1" t="s">
        <v>125</v>
      </c>
      <c r="C2" s="1" t="s">
        <v>421</v>
      </c>
      <c r="D2" s="3">
        <v>50000.0</v>
      </c>
      <c r="F2" s="57"/>
    </row>
    <row r="3">
      <c r="B3" s="1" t="s">
        <v>210</v>
      </c>
      <c r="C3" s="1" t="s">
        <v>421</v>
      </c>
      <c r="D3" s="3">
        <v>95000.0</v>
      </c>
      <c r="F3" s="57"/>
    </row>
    <row r="4">
      <c r="B4" s="1" t="s">
        <v>210</v>
      </c>
      <c r="C4" s="1" t="s">
        <v>421</v>
      </c>
      <c r="D4" s="3">
        <v>35000.0</v>
      </c>
      <c r="F4" s="57"/>
    </row>
    <row r="5">
      <c r="B5" s="1" t="s">
        <v>210</v>
      </c>
      <c r="C5" s="1" t="s">
        <v>421</v>
      </c>
      <c r="D5" s="3">
        <v>20000.0</v>
      </c>
      <c r="F5" s="57"/>
    </row>
    <row r="6">
      <c r="B6" s="1" t="s">
        <v>422</v>
      </c>
      <c r="C6" s="1" t="s">
        <v>421</v>
      </c>
      <c r="D6" s="3">
        <v>100000.0</v>
      </c>
      <c r="F6" s="57"/>
    </row>
    <row r="7">
      <c r="B7" s="1" t="s">
        <v>422</v>
      </c>
      <c r="C7" s="1" t="s">
        <v>421</v>
      </c>
      <c r="D7" s="3">
        <v>100000.0</v>
      </c>
      <c r="F7" s="57"/>
    </row>
    <row r="8">
      <c r="B8" s="1" t="s">
        <v>422</v>
      </c>
      <c r="C8" s="1" t="s">
        <v>421</v>
      </c>
      <c r="D8" s="3">
        <v>35000.0</v>
      </c>
      <c r="F8" s="57"/>
    </row>
    <row r="9">
      <c r="B9" s="1" t="s">
        <v>422</v>
      </c>
      <c r="C9" s="1" t="s">
        <v>421</v>
      </c>
      <c r="D9" s="3">
        <v>25000.0</v>
      </c>
      <c r="F9" s="57"/>
    </row>
    <row r="10">
      <c r="B10" s="1" t="s">
        <v>422</v>
      </c>
      <c r="C10" s="1" t="s">
        <v>421</v>
      </c>
      <c r="D10" s="3">
        <v>40000.0</v>
      </c>
      <c r="F10" s="57"/>
    </row>
    <row r="11">
      <c r="D11" s="13"/>
      <c r="E11" s="1" t="s">
        <v>127</v>
      </c>
      <c r="F11" s="130">
        <v>125000.0</v>
      </c>
    </row>
    <row r="12">
      <c r="D12" s="13"/>
      <c r="E12" s="1" t="s">
        <v>423</v>
      </c>
      <c r="F12" s="130">
        <v>125000.0</v>
      </c>
    </row>
    <row r="13">
      <c r="D13" s="13"/>
      <c r="E13" s="1" t="s">
        <v>424</v>
      </c>
      <c r="F13" s="130">
        <v>125000.0</v>
      </c>
    </row>
    <row r="14">
      <c r="D14" s="13"/>
      <c r="E14" s="1" t="s">
        <v>425</v>
      </c>
      <c r="F14" s="130">
        <v>125000.0</v>
      </c>
    </row>
    <row r="15">
      <c r="D15" s="13"/>
      <c r="E15" s="1" t="s">
        <v>297</v>
      </c>
      <c r="F15" s="130">
        <v>125000.0</v>
      </c>
    </row>
    <row r="16">
      <c r="D16" s="13"/>
      <c r="F16" s="57"/>
    </row>
    <row r="17">
      <c r="D17" s="13"/>
      <c r="F17" s="57"/>
    </row>
    <row r="18">
      <c r="D18" s="13"/>
      <c r="F18" s="57"/>
      <c r="H18" s="15" t="s">
        <v>26</v>
      </c>
      <c r="J18" s="16" t="s">
        <v>177</v>
      </c>
    </row>
    <row r="19">
      <c r="D19" s="13">
        <f>SUM(D2:D16)</f>
        <v>500000</v>
      </c>
      <c r="F19" s="57">
        <f>SUM(F2:F16)</f>
        <v>625000</v>
      </c>
      <c r="H19" s="18">
        <f>F19/D19</f>
        <v>1.25</v>
      </c>
      <c r="J19" s="59">
        <f>(D19)*3/100</f>
        <v>15000</v>
      </c>
      <c r="K19" s="1" t="s">
        <v>249</v>
      </c>
    </row>
    <row r="20">
      <c r="D20" s="13"/>
      <c r="F20" s="57"/>
      <c r="J20" s="59">
        <f t="shared" ref="J20:J21" si="1">J19</f>
        <v>15000</v>
      </c>
      <c r="K20" s="1" t="s">
        <v>252</v>
      </c>
    </row>
    <row r="21">
      <c r="D21" s="13"/>
      <c r="F21" s="57"/>
      <c r="J21" s="59">
        <f t="shared" si="1"/>
        <v>15000</v>
      </c>
      <c r="K21" s="1" t="s">
        <v>254</v>
      </c>
    </row>
    <row r="22">
      <c r="D22" s="13"/>
      <c r="F22" s="57"/>
    </row>
    <row r="23">
      <c r="D23" s="13"/>
      <c r="F23" s="57"/>
    </row>
    <row r="24">
      <c r="D24" s="13"/>
      <c r="F24" s="57"/>
    </row>
    <row r="25">
      <c r="C25" s="22" t="s">
        <v>41</v>
      </c>
      <c r="D25" s="23"/>
      <c r="E25" s="23"/>
      <c r="F25" s="23"/>
      <c r="G25" s="23"/>
      <c r="H25" s="23"/>
      <c r="I25" s="23"/>
      <c r="J25" s="24"/>
    </row>
    <row r="26">
      <c r="C26" s="27"/>
      <c r="D26" s="28"/>
      <c r="E26" s="28"/>
      <c r="F26" s="28"/>
      <c r="G26" s="28"/>
      <c r="H26" s="28"/>
      <c r="I26" s="28"/>
      <c r="J26" s="29"/>
    </row>
    <row r="27">
      <c r="C27" s="32"/>
      <c r="D27" s="32" t="s">
        <v>49</v>
      </c>
      <c r="E27" s="32" t="s">
        <v>51</v>
      </c>
      <c r="F27" s="32" t="s">
        <v>52</v>
      </c>
      <c r="G27" s="32"/>
      <c r="H27" s="32" t="s">
        <v>54</v>
      </c>
      <c r="I27" s="32" t="s">
        <v>56</v>
      </c>
      <c r="J27" s="32" t="s">
        <v>57</v>
      </c>
    </row>
    <row r="28">
      <c r="C28" s="1" t="s">
        <v>59</v>
      </c>
      <c r="D28" s="11">
        <f>SUM(D2:D10)</f>
        <v>500000</v>
      </c>
      <c r="E28" s="1">
        <v>3.0</v>
      </c>
      <c r="F28" s="38">
        <v>11.0</v>
      </c>
      <c r="H28" s="17">
        <f>D28*E28/100</f>
        <v>15000</v>
      </c>
      <c r="I28" s="17">
        <f>H28*F28</f>
        <v>165000</v>
      </c>
      <c r="J28" s="14">
        <f>D28+I28</f>
        <v>665000</v>
      </c>
    </row>
    <row r="29">
      <c r="D29" s="11"/>
      <c r="F29" s="38"/>
    </row>
    <row r="30">
      <c r="D30" s="11"/>
      <c r="F30" s="38"/>
    </row>
    <row r="31">
      <c r="D31" s="14"/>
      <c r="F31" s="40"/>
    </row>
    <row r="32">
      <c r="D32" s="14"/>
      <c r="F32" s="40"/>
      <c r="J32" s="19">
        <f>SUM(J28:J30)</f>
        <v>665000</v>
      </c>
    </row>
    <row r="33">
      <c r="D33" s="14"/>
      <c r="F33" s="40"/>
    </row>
    <row r="34">
      <c r="H34" s="39" t="s">
        <v>62</v>
      </c>
      <c r="J34" s="131">
        <f>F19</f>
        <v>625000</v>
      </c>
    </row>
    <row r="36">
      <c r="H36" s="39" t="s">
        <v>72</v>
      </c>
      <c r="J36" s="60">
        <f>J32-J34</f>
        <v>40000</v>
      </c>
      <c r="L36" s="47" t="s">
        <v>69</v>
      </c>
    </row>
    <row r="37">
      <c r="L37" s="12">
        <f>J36/3</f>
        <v>13333.33333</v>
      </c>
      <c r="M37" s="15" t="s">
        <v>79</v>
      </c>
    </row>
    <row r="38">
      <c r="D38" s="14"/>
      <c r="L38" s="12">
        <f t="shared" ref="L38:L39" si="2">L37</f>
        <v>13333.33333</v>
      </c>
      <c r="M38" s="15" t="s">
        <v>82</v>
      </c>
    </row>
    <row r="39">
      <c r="D39" s="14"/>
      <c r="L39" s="12">
        <f t="shared" si="2"/>
        <v>13333.33333</v>
      </c>
      <c r="M39" s="15" t="s">
        <v>84</v>
      </c>
    </row>
    <row r="40">
      <c r="D40" s="14"/>
    </row>
    <row r="41">
      <c r="D41" s="14"/>
    </row>
    <row r="42">
      <c r="D42" s="13"/>
      <c r="F42" s="57"/>
    </row>
    <row r="43">
      <c r="D43" s="13"/>
      <c r="F43" s="57"/>
    </row>
    <row r="44">
      <c r="D44" s="13"/>
      <c r="F44" s="57"/>
    </row>
    <row r="45">
      <c r="D45" s="13"/>
      <c r="F45" s="57"/>
    </row>
    <row r="46">
      <c r="D46" s="13"/>
      <c r="F46" s="57"/>
    </row>
    <row r="47">
      <c r="D47" s="13"/>
      <c r="F47" s="57"/>
    </row>
    <row r="48">
      <c r="D48" s="13"/>
      <c r="F48" s="57"/>
    </row>
    <row r="49">
      <c r="D49" s="13"/>
      <c r="F49" s="57"/>
    </row>
    <row r="50">
      <c r="D50" s="13"/>
      <c r="F50" s="57"/>
    </row>
    <row r="51">
      <c r="D51" s="13"/>
      <c r="F51" s="57"/>
    </row>
    <row r="52">
      <c r="D52" s="13"/>
      <c r="F52" s="57"/>
    </row>
    <row r="53">
      <c r="D53" s="13"/>
      <c r="F53" s="57"/>
    </row>
    <row r="54">
      <c r="D54" s="13"/>
      <c r="F54" s="57"/>
    </row>
    <row r="55">
      <c r="D55" s="13"/>
      <c r="F55" s="57"/>
    </row>
    <row r="56">
      <c r="D56" s="13"/>
      <c r="F56" s="57"/>
    </row>
    <row r="57">
      <c r="D57" s="13"/>
      <c r="F57" s="57"/>
    </row>
    <row r="58">
      <c r="D58" s="13"/>
      <c r="F58" s="57"/>
    </row>
    <row r="59">
      <c r="D59" s="13"/>
      <c r="F59" s="57"/>
    </row>
    <row r="60">
      <c r="D60" s="13"/>
      <c r="F60" s="57"/>
    </row>
    <row r="61">
      <c r="D61" s="13"/>
      <c r="F61" s="57"/>
    </row>
    <row r="62">
      <c r="D62" s="13"/>
      <c r="F62" s="57"/>
    </row>
    <row r="63">
      <c r="D63" s="13"/>
      <c r="F63" s="57"/>
    </row>
    <row r="64">
      <c r="D64" s="13"/>
      <c r="F64" s="57"/>
    </row>
    <row r="65">
      <c r="D65" s="13"/>
      <c r="F65" s="57"/>
    </row>
    <row r="66">
      <c r="D66" s="13"/>
      <c r="F66" s="57"/>
    </row>
    <row r="67">
      <c r="D67" s="13"/>
      <c r="F67" s="57"/>
    </row>
    <row r="68">
      <c r="D68" s="13"/>
      <c r="F68" s="57"/>
    </row>
    <row r="69">
      <c r="D69" s="13"/>
      <c r="F69" s="57"/>
    </row>
    <row r="70">
      <c r="D70" s="13"/>
      <c r="F70" s="57"/>
    </row>
    <row r="71">
      <c r="D71" s="13"/>
      <c r="F71" s="57"/>
    </row>
    <row r="72">
      <c r="D72" s="13"/>
      <c r="F72" s="57"/>
    </row>
    <row r="73">
      <c r="D73" s="13"/>
      <c r="F73" s="57"/>
    </row>
    <row r="74">
      <c r="D74" s="13"/>
      <c r="F74" s="57"/>
    </row>
    <row r="75">
      <c r="D75" s="13"/>
      <c r="F75" s="57"/>
    </row>
    <row r="76">
      <c r="D76" s="13"/>
      <c r="F76" s="57"/>
    </row>
    <row r="77">
      <c r="D77" s="13"/>
      <c r="F77" s="57"/>
    </row>
    <row r="78">
      <c r="D78" s="13"/>
      <c r="F78" s="57"/>
    </row>
    <row r="79">
      <c r="D79" s="13"/>
      <c r="F79" s="57"/>
    </row>
    <row r="80">
      <c r="D80" s="13"/>
      <c r="F80" s="57"/>
    </row>
    <row r="81">
      <c r="D81" s="13"/>
      <c r="F81" s="57"/>
    </row>
    <row r="82">
      <c r="D82" s="13"/>
      <c r="F82" s="57"/>
    </row>
    <row r="83">
      <c r="D83" s="13"/>
      <c r="F83" s="57"/>
    </row>
    <row r="84">
      <c r="D84" s="13"/>
      <c r="F84" s="57"/>
    </row>
    <row r="85">
      <c r="D85" s="13"/>
      <c r="F85" s="57"/>
    </row>
    <row r="86">
      <c r="D86" s="13"/>
      <c r="F86" s="57"/>
    </row>
    <row r="87">
      <c r="D87" s="13"/>
      <c r="F87" s="57"/>
    </row>
    <row r="88">
      <c r="D88" s="13"/>
      <c r="F88" s="57"/>
    </row>
    <row r="89">
      <c r="D89" s="13"/>
      <c r="F89" s="57"/>
    </row>
    <row r="90">
      <c r="D90" s="13"/>
      <c r="F90" s="57"/>
    </row>
    <row r="91">
      <c r="D91" s="13"/>
      <c r="F91" s="57"/>
    </row>
    <row r="92">
      <c r="D92" s="13"/>
      <c r="F92" s="57"/>
    </row>
    <row r="93">
      <c r="D93" s="13"/>
      <c r="F93" s="57"/>
    </row>
    <row r="94">
      <c r="D94" s="13"/>
      <c r="F94" s="57"/>
    </row>
    <row r="95">
      <c r="D95" s="13"/>
      <c r="F95" s="57"/>
    </row>
    <row r="96">
      <c r="D96" s="13"/>
      <c r="F96" s="57"/>
    </row>
    <row r="97">
      <c r="D97" s="13"/>
      <c r="F97" s="57"/>
    </row>
    <row r="98">
      <c r="D98" s="13"/>
      <c r="F98" s="57"/>
    </row>
    <row r="99">
      <c r="D99" s="13"/>
      <c r="F99" s="57"/>
    </row>
    <row r="100">
      <c r="D100" s="13"/>
      <c r="F100" s="57"/>
    </row>
    <row r="101">
      <c r="D101" s="13"/>
      <c r="F101" s="57"/>
    </row>
    <row r="102">
      <c r="D102" s="13"/>
      <c r="F102" s="57"/>
    </row>
    <row r="103">
      <c r="D103" s="13"/>
      <c r="F103" s="57"/>
    </row>
    <row r="104">
      <c r="D104" s="13"/>
      <c r="F104" s="57"/>
    </row>
    <row r="105">
      <c r="D105" s="13"/>
      <c r="F105" s="57"/>
    </row>
    <row r="106">
      <c r="D106" s="13"/>
      <c r="F106" s="57"/>
    </row>
    <row r="107">
      <c r="D107" s="13"/>
      <c r="F107" s="57"/>
    </row>
    <row r="108">
      <c r="D108" s="13"/>
      <c r="F108" s="57"/>
    </row>
    <row r="109">
      <c r="D109" s="13"/>
      <c r="F109" s="57"/>
    </row>
    <row r="110">
      <c r="D110" s="13"/>
      <c r="F110" s="57"/>
    </row>
    <row r="111">
      <c r="D111" s="13"/>
      <c r="F111" s="57"/>
    </row>
    <row r="112">
      <c r="D112" s="13"/>
      <c r="F112" s="57"/>
    </row>
    <row r="113">
      <c r="D113" s="13"/>
      <c r="F113" s="57"/>
    </row>
    <row r="114">
      <c r="D114" s="13"/>
      <c r="F114" s="57"/>
    </row>
    <row r="115">
      <c r="D115" s="13"/>
      <c r="F115" s="57"/>
    </row>
    <row r="116">
      <c r="D116" s="13"/>
      <c r="F116" s="57"/>
    </row>
    <row r="117">
      <c r="D117" s="13"/>
      <c r="F117" s="57"/>
    </row>
    <row r="118">
      <c r="D118" s="13"/>
      <c r="F118" s="57"/>
    </row>
    <row r="119">
      <c r="D119" s="13"/>
      <c r="F119" s="57"/>
    </row>
    <row r="120">
      <c r="D120" s="13"/>
      <c r="F120" s="57"/>
    </row>
    <row r="121">
      <c r="D121" s="13"/>
      <c r="F121" s="57"/>
    </row>
    <row r="122">
      <c r="D122" s="13"/>
      <c r="F122" s="57"/>
    </row>
    <row r="123">
      <c r="D123" s="13"/>
      <c r="F123" s="57"/>
    </row>
    <row r="124">
      <c r="D124" s="13"/>
      <c r="F124" s="57"/>
    </row>
    <row r="125">
      <c r="D125" s="13"/>
      <c r="F125" s="57"/>
    </row>
    <row r="126">
      <c r="D126" s="13"/>
      <c r="F126" s="57"/>
    </row>
    <row r="127">
      <c r="D127" s="13"/>
      <c r="F127" s="57"/>
    </row>
    <row r="128">
      <c r="D128" s="13"/>
      <c r="F128" s="57"/>
    </row>
    <row r="129">
      <c r="D129" s="13"/>
      <c r="F129" s="57"/>
    </row>
    <row r="130">
      <c r="D130" s="13"/>
      <c r="F130" s="57"/>
    </row>
    <row r="131">
      <c r="D131" s="13"/>
      <c r="F131" s="57"/>
    </row>
    <row r="132">
      <c r="D132" s="13"/>
      <c r="F132" s="57"/>
    </row>
    <row r="133">
      <c r="D133" s="13"/>
      <c r="F133" s="57"/>
    </row>
    <row r="134">
      <c r="D134" s="13"/>
      <c r="F134" s="57"/>
    </row>
    <row r="135">
      <c r="D135" s="13"/>
      <c r="F135" s="57"/>
    </row>
    <row r="136">
      <c r="D136" s="13"/>
      <c r="F136" s="57"/>
    </row>
    <row r="137">
      <c r="D137" s="13"/>
      <c r="F137" s="57"/>
    </row>
    <row r="138">
      <c r="D138" s="13"/>
      <c r="F138" s="57"/>
    </row>
    <row r="139">
      <c r="D139" s="13"/>
      <c r="F139" s="57"/>
    </row>
    <row r="140">
      <c r="D140" s="13"/>
      <c r="F140" s="57"/>
    </row>
    <row r="141">
      <c r="D141" s="13"/>
      <c r="F141" s="57"/>
    </row>
    <row r="142">
      <c r="D142" s="13"/>
      <c r="F142" s="57"/>
    </row>
    <row r="143">
      <c r="D143" s="13"/>
      <c r="F143" s="57"/>
    </row>
    <row r="144">
      <c r="D144" s="13"/>
      <c r="F144" s="57"/>
    </row>
    <row r="145">
      <c r="D145" s="13"/>
      <c r="F145" s="57"/>
    </row>
    <row r="146">
      <c r="D146" s="13"/>
      <c r="F146" s="57"/>
    </row>
    <row r="147">
      <c r="D147" s="13"/>
      <c r="F147" s="57"/>
    </row>
    <row r="148">
      <c r="D148" s="13"/>
      <c r="F148" s="57"/>
    </row>
    <row r="149">
      <c r="D149" s="13"/>
      <c r="F149" s="57"/>
    </row>
    <row r="150">
      <c r="D150" s="13"/>
      <c r="F150" s="57"/>
    </row>
    <row r="151">
      <c r="D151" s="13"/>
      <c r="F151" s="57"/>
    </row>
    <row r="152">
      <c r="D152" s="13"/>
      <c r="F152" s="57"/>
    </row>
    <row r="153">
      <c r="D153" s="13"/>
      <c r="F153" s="57"/>
    </row>
    <row r="154">
      <c r="D154" s="13"/>
      <c r="F154" s="57"/>
    </row>
    <row r="155">
      <c r="D155" s="13"/>
      <c r="F155" s="57"/>
    </row>
    <row r="156">
      <c r="D156" s="13"/>
      <c r="F156" s="57"/>
    </row>
    <row r="157">
      <c r="D157" s="13"/>
      <c r="F157" s="57"/>
    </row>
    <row r="158">
      <c r="D158" s="13"/>
      <c r="F158" s="57"/>
    </row>
    <row r="159">
      <c r="D159" s="13"/>
      <c r="F159" s="57"/>
    </row>
    <row r="160">
      <c r="D160" s="13"/>
      <c r="F160" s="57"/>
    </row>
    <row r="161">
      <c r="D161" s="13"/>
      <c r="F161" s="57"/>
    </row>
    <row r="162">
      <c r="D162" s="13"/>
      <c r="F162" s="57"/>
    </row>
    <row r="163">
      <c r="D163" s="13"/>
      <c r="F163" s="57"/>
    </row>
    <row r="164">
      <c r="D164" s="13"/>
      <c r="F164" s="57"/>
    </row>
    <row r="165">
      <c r="D165" s="13"/>
      <c r="F165" s="57"/>
    </row>
    <row r="166">
      <c r="D166" s="13"/>
      <c r="F166" s="57"/>
    </row>
    <row r="167">
      <c r="D167" s="13"/>
      <c r="F167" s="57"/>
    </row>
    <row r="168">
      <c r="D168" s="13"/>
      <c r="F168" s="57"/>
    </row>
    <row r="169">
      <c r="D169" s="13"/>
      <c r="F169" s="57"/>
    </row>
    <row r="170">
      <c r="D170" s="13"/>
      <c r="F170" s="57"/>
    </row>
    <row r="171">
      <c r="D171" s="13"/>
      <c r="F171" s="57"/>
    </row>
    <row r="172">
      <c r="D172" s="13"/>
      <c r="F172" s="57"/>
    </row>
    <row r="173">
      <c r="D173" s="13"/>
      <c r="F173" s="57"/>
    </row>
    <row r="174">
      <c r="D174" s="13"/>
      <c r="F174" s="57"/>
    </row>
    <row r="175">
      <c r="D175" s="13"/>
      <c r="F175" s="57"/>
    </row>
    <row r="176">
      <c r="D176" s="13"/>
      <c r="F176" s="57"/>
    </row>
    <row r="177">
      <c r="D177" s="13"/>
      <c r="F177" s="57"/>
    </row>
    <row r="178">
      <c r="D178" s="13"/>
      <c r="F178" s="57"/>
    </row>
    <row r="179">
      <c r="D179" s="13"/>
      <c r="F179" s="57"/>
    </row>
    <row r="180">
      <c r="D180" s="13"/>
      <c r="F180" s="57"/>
    </row>
    <row r="181">
      <c r="D181" s="13"/>
      <c r="F181" s="57"/>
    </row>
    <row r="182">
      <c r="D182" s="13"/>
      <c r="F182" s="57"/>
    </row>
    <row r="183">
      <c r="D183" s="13"/>
      <c r="F183" s="57"/>
    </row>
    <row r="184">
      <c r="D184" s="13"/>
      <c r="F184" s="57"/>
    </row>
    <row r="185">
      <c r="D185" s="13"/>
      <c r="F185" s="57"/>
    </row>
    <row r="186">
      <c r="D186" s="13"/>
      <c r="F186" s="57"/>
    </row>
    <row r="187">
      <c r="D187" s="13"/>
      <c r="F187" s="57"/>
    </row>
    <row r="188">
      <c r="D188" s="13"/>
      <c r="F188" s="57"/>
    </row>
    <row r="189">
      <c r="D189" s="13"/>
      <c r="F189" s="57"/>
    </row>
    <row r="190">
      <c r="D190" s="13"/>
      <c r="F190" s="57"/>
    </row>
    <row r="191">
      <c r="D191" s="13"/>
      <c r="F191" s="57"/>
    </row>
    <row r="192">
      <c r="D192" s="13"/>
      <c r="F192" s="57"/>
    </row>
    <row r="193">
      <c r="D193" s="13"/>
      <c r="F193" s="57"/>
    </row>
    <row r="194">
      <c r="D194" s="13"/>
      <c r="F194" s="57"/>
    </row>
    <row r="195">
      <c r="D195" s="13"/>
      <c r="F195" s="57"/>
    </row>
    <row r="196">
      <c r="D196" s="13"/>
      <c r="F196" s="57"/>
    </row>
    <row r="197">
      <c r="D197" s="13"/>
      <c r="F197" s="57"/>
    </row>
    <row r="198">
      <c r="D198" s="13"/>
      <c r="F198" s="57"/>
    </row>
    <row r="199">
      <c r="D199" s="13"/>
      <c r="F199" s="57"/>
    </row>
    <row r="200">
      <c r="D200" s="13"/>
      <c r="F200" s="57"/>
    </row>
    <row r="201">
      <c r="D201" s="13"/>
      <c r="F201" s="57"/>
    </row>
    <row r="202">
      <c r="D202" s="13"/>
      <c r="F202" s="57"/>
    </row>
    <row r="203">
      <c r="D203" s="13"/>
      <c r="F203" s="57"/>
    </row>
    <row r="204">
      <c r="D204" s="13"/>
      <c r="F204" s="57"/>
    </row>
    <row r="205">
      <c r="D205" s="13"/>
      <c r="F205" s="57"/>
    </row>
    <row r="206">
      <c r="D206" s="13"/>
      <c r="F206" s="57"/>
    </row>
    <row r="207">
      <c r="D207" s="13"/>
      <c r="F207" s="57"/>
    </row>
    <row r="208">
      <c r="D208" s="13"/>
      <c r="F208" s="57"/>
    </row>
    <row r="209">
      <c r="D209" s="13"/>
      <c r="F209" s="57"/>
    </row>
    <row r="210">
      <c r="D210" s="13"/>
      <c r="F210" s="57"/>
    </row>
    <row r="211">
      <c r="D211" s="13"/>
      <c r="F211" s="57"/>
    </row>
    <row r="212">
      <c r="D212" s="13"/>
      <c r="F212" s="57"/>
    </row>
    <row r="213">
      <c r="D213" s="13"/>
      <c r="F213" s="57"/>
    </row>
    <row r="214">
      <c r="D214" s="13"/>
      <c r="F214" s="57"/>
    </row>
    <row r="215">
      <c r="D215" s="13"/>
      <c r="F215" s="57"/>
    </row>
    <row r="216">
      <c r="D216" s="13"/>
      <c r="F216" s="57"/>
    </row>
    <row r="217">
      <c r="D217" s="13"/>
      <c r="F217" s="57"/>
    </row>
    <row r="218">
      <c r="D218" s="13"/>
      <c r="F218" s="57"/>
    </row>
    <row r="219">
      <c r="D219" s="13"/>
      <c r="F219" s="57"/>
    </row>
    <row r="220">
      <c r="D220" s="13"/>
      <c r="F220" s="57"/>
    </row>
    <row r="221">
      <c r="D221" s="13"/>
      <c r="F221" s="57"/>
    </row>
    <row r="222">
      <c r="D222" s="13"/>
      <c r="F222" s="57"/>
    </row>
    <row r="223">
      <c r="D223" s="13"/>
      <c r="F223" s="57"/>
    </row>
    <row r="224">
      <c r="D224" s="13"/>
      <c r="F224" s="57"/>
    </row>
    <row r="225">
      <c r="D225" s="13"/>
      <c r="F225" s="57"/>
    </row>
    <row r="226">
      <c r="D226" s="13"/>
      <c r="F226" s="57"/>
    </row>
    <row r="227">
      <c r="D227" s="13"/>
      <c r="F227" s="57"/>
    </row>
    <row r="228">
      <c r="D228" s="13"/>
      <c r="F228" s="57"/>
    </row>
    <row r="229">
      <c r="D229" s="13"/>
      <c r="F229" s="57"/>
    </row>
    <row r="230">
      <c r="D230" s="13"/>
      <c r="F230" s="57"/>
    </row>
    <row r="231">
      <c r="D231" s="13"/>
      <c r="F231" s="57"/>
    </row>
    <row r="232">
      <c r="D232" s="13"/>
      <c r="F232" s="57"/>
    </row>
    <row r="233">
      <c r="D233" s="13"/>
      <c r="F233" s="57"/>
    </row>
    <row r="234">
      <c r="D234" s="13"/>
      <c r="F234" s="57"/>
    </row>
    <row r="235">
      <c r="D235" s="13"/>
      <c r="F235" s="57"/>
    </row>
    <row r="236">
      <c r="D236" s="13"/>
      <c r="F236" s="57"/>
    </row>
    <row r="237">
      <c r="D237" s="13"/>
      <c r="F237" s="57"/>
    </row>
    <row r="238">
      <c r="D238" s="13"/>
      <c r="F238" s="57"/>
    </row>
    <row r="239">
      <c r="D239" s="13"/>
      <c r="F239" s="57"/>
    </row>
    <row r="240">
      <c r="D240" s="13"/>
      <c r="F240" s="57"/>
    </row>
    <row r="241">
      <c r="D241" s="13"/>
      <c r="F241" s="57"/>
    </row>
    <row r="242">
      <c r="D242" s="13"/>
      <c r="F242" s="57"/>
    </row>
    <row r="243">
      <c r="D243" s="13"/>
      <c r="F243" s="57"/>
    </row>
    <row r="244">
      <c r="D244" s="13"/>
      <c r="F244" s="57"/>
    </row>
    <row r="245">
      <c r="D245" s="13"/>
      <c r="F245" s="57"/>
    </row>
    <row r="246">
      <c r="D246" s="13"/>
      <c r="F246" s="57"/>
    </row>
    <row r="247">
      <c r="D247" s="13"/>
      <c r="F247" s="57"/>
    </row>
    <row r="248">
      <c r="D248" s="13"/>
      <c r="F248" s="57"/>
    </row>
    <row r="249">
      <c r="D249" s="13"/>
      <c r="F249" s="57"/>
    </row>
    <row r="250">
      <c r="D250" s="13"/>
      <c r="F250" s="57"/>
    </row>
    <row r="251">
      <c r="D251" s="13"/>
      <c r="F251" s="57"/>
    </row>
    <row r="252">
      <c r="D252" s="13"/>
      <c r="F252" s="57"/>
    </row>
    <row r="253">
      <c r="D253" s="13"/>
      <c r="F253" s="57"/>
    </row>
    <row r="254">
      <c r="D254" s="13"/>
      <c r="F254" s="57"/>
    </row>
    <row r="255">
      <c r="D255" s="13"/>
      <c r="F255" s="57"/>
    </row>
    <row r="256">
      <c r="D256" s="13"/>
      <c r="F256" s="57"/>
    </row>
    <row r="257">
      <c r="D257" s="13"/>
      <c r="F257" s="57"/>
    </row>
    <row r="258">
      <c r="D258" s="13"/>
      <c r="F258" s="57"/>
    </row>
    <row r="259">
      <c r="D259" s="13"/>
      <c r="F259" s="57"/>
    </row>
    <row r="260">
      <c r="D260" s="13"/>
      <c r="F260" s="57"/>
    </row>
    <row r="261">
      <c r="D261" s="13"/>
      <c r="F261" s="57"/>
    </row>
    <row r="262">
      <c r="D262" s="13"/>
      <c r="F262" s="57"/>
    </row>
    <row r="263">
      <c r="D263" s="13"/>
      <c r="F263" s="57"/>
    </row>
    <row r="264">
      <c r="D264" s="13"/>
      <c r="F264" s="57"/>
    </row>
    <row r="265">
      <c r="D265" s="13"/>
      <c r="F265" s="57"/>
    </row>
    <row r="266">
      <c r="D266" s="13"/>
      <c r="F266" s="57"/>
    </row>
    <row r="267">
      <c r="D267" s="13"/>
      <c r="F267" s="57"/>
    </row>
    <row r="268">
      <c r="D268" s="13"/>
      <c r="F268" s="57"/>
    </row>
    <row r="269">
      <c r="D269" s="13"/>
      <c r="F269" s="57"/>
    </row>
    <row r="270">
      <c r="D270" s="13"/>
      <c r="F270" s="57"/>
    </row>
    <row r="271">
      <c r="D271" s="13"/>
      <c r="F271" s="57"/>
    </row>
    <row r="272">
      <c r="D272" s="13"/>
      <c r="F272" s="57"/>
    </row>
    <row r="273">
      <c r="D273" s="13"/>
      <c r="F273" s="57"/>
    </row>
    <row r="274">
      <c r="D274" s="13"/>
      <c r="F274" s="57"/>
    </row>
    <row r="275">
      <c r="D275" s="13"/>
      <c r="F275" s="57"/>
    </row>
    <row r="276">
      <c r="D276" s="13"/>
      <c r="F276" s="57"/>
    </row>
    <row r="277">
      <c r="D277" s="13"/>
      <c r="F277" s="57"/>
    </row>
    <row r="278">
      <c r="D278" s="13"/>
      <c r="F278" s="57"/>
    </row>
    <row r="279">
      <c r="D279" s="13"/>
      <c r="F279" s="57"/>
    </row>
    <row r="280">
      <c r="D280" s="13"/>
      <c r="F280" s="57"/>
    </row>
    <row r="281">
      <c r="D281" s="13"/>
      <c r="F281" s="57"/>
    </row>
    <row r="282">
      <c r="D282" s="13"/>
      <c r="F282" s="57"/>
    </row>
    <row r="283">
      <c r="D283" s="13"/>
      <c r="F283" s="57"/>
    </row>
    <row r="284">
      <c r="D284" s="13"/>
      <c r="F284" s="57"/>
    </row>
    <row r="285">
      <c r="D285" s="13"/>
      <c r="F285" s="57"/>
    </row>
    <row r="286">
      <c r="D286" s="13"/>
      <c r="F286" s="57"/>
    </row>
    <row r="287">
      <c r="D287" s="13"/>
      <c r="F287" s="57"/>
    </row>
    <row r="288">
      <c r="D288" s="13"/>
      <c r="F288" s="57"/>
    </row>
    <row r="289">
      <c r="D289" s="13"/>
      <c r="F289" s="57"/>
    </row>
    <row r="290">
      <c r="D290" s="13"/>
      <c r="F290" s="57"/>
    </row>
    <row r="291">
      <c r="D291" s="13"/>
      <c r="F291" s="57"/>
    </row>
    <row r="292">
      <c r="D292" s="13"/>
      <c r="F292" s="57"/>
    </row>
    <row r="293">
      <c r="D293" s="13"/>
      <c r="F293" s="57"/>
    </row>
    <row r="294">
      <c r="D294" s="13"/>
      <c r="F294" s="57"/>
    </row>
    <row r="295">
      <c r="D295" s="13"/>
      <c r="F295" s="57"/>
    </row>
    <row r="296">
      <c r="D296" s="13"/>
      <c r="F296" s="57"/>
    </row>
    <row r="297">
      <c r="D297" s="13"/>
      <c r="F297" s="57"/>
    </row>
    <row r="298">
      <c r="D298" s="13"/>
      <c r="F298" s="57"/>
    </row>
    <row r="299">
      <c r="D299" s="13"/>
      <c r="F299" s="57"/>
    </row>
    <row r="300">
      <c r="D300" s="13"/>
      <c r="F300" s="57"/>
    </row>
    <row r="301">
      <c r="D301" s="13"/>
      <c r="F301" s="57"/>
    </row>
    <row r="302">
      <c r="D302" s="13"/>
      <c r="F302" s="57"/>
    </row>
    <row r="303">
      <c r="D303" s="13"/>
      <c r="F303" s="57"/>
    </row>
    <row r="304">
      <c r="D304" s="13"/>
      <c r="F304" s="57"/>
    </row>
    <row r="305">
      <c r="D305" s="13"/>
      <c r="F305" s="57"/>
    </row>
    <row r="306">
      <c r="D306" s="13"/>
      <c r="F306" s="57"/>
    </row>
    <row r="307">
      <c r="D307" s="13"/>
      <c r="F307" s="57"/>
    </row>
    <row r="308">
      <c r="D308" s="13"/>
      <c r="F308" s="57"/>
    </row>
    <row r="309">
      <c r="D309" s="13"/>
      <c r="F309" s="57"/>
    </row>
    <row r="310">
      <c r="D310" s="13"/>
      <c r="F310" s="57"/>
    </row>
    <row r="311">
      <c r="D311" s="13"/>
      <c r="F311" s="57"/>
    </row>
    <row r="312">
      <c r="D312" s="13"/>
      <c r="F312" s="57"/>
    </row>
    <row r="313">
      <c r="D313" s="13"/>
      <c r="F313" s="57"/>
    </row>
    <row r="314">
      <c r="D314" s="13"/>
      <c r="F314" s="57"/>
    </row>
    <row r="315">
      <c r="D315" s="13"/>
      <c r="F315" s="57"/>
    </row>
    <row r="316">
      <c r="D316" s="13"/>
      <c r="F316" s="57"/>
    </row>
    <row r="317">
      <c r="D317" s="13"/>
      <c r="F317" s="57"/>
    </row>
    <row r="318">
      <c r="D318" s="13"/>
      <c r="F318" s="57"/>
    </row>
    <row r="319">
      <c r="D319" s="13"/>
      <c r="F319" s="57"/>
    </row>
    <row r="320">
      <c r="D320" s="13"/>
      <c r="F320" s="57"/>
    </row>
    <row r="321">
      <c r="D321" s="13"/>
      <c r="F321" s="57"/>
    </row>
    <row r="322">
      <c r="D322" s="13"/>
      <c r="F322" s="57"/>
    </row>
    <row r="323">
      <c r="D323" s="13"/>
      <c r="F323" s="57"/>
    </row>
    <row r="324">
      <c r="D324" s="13"/>
      <c r="F324" s="57"/>
    </row>
    <row r="325">
      <c r="D325" s="13"/>
      <c r="F325" s="57"/>
    </row>
    <row r="326">
      <c r="D326" s="13"/>
      <c r="F326" s="57"/>
    </row>
    <row r="327">
      <c r="D327" s="13"/>
      <c r="F327" s="57"/>
    </row>
    <row r="328">
      <c r="D328" s="13"/>
      <c r="F328" s="57"/>
    </row>
    <row r="329">
      <c r="D329" s="13"/>
      <c r="F329" s="57"/>
    </row>
    <row r="330">
      <c r="D330" s="13"/>
      <c r="F330" s="57"/>
    </row>
    <row r="331">
      <c r="D331" s="13"/>
      <c r="F331" s="57"/>
    </row>
    <row r="332">
      <c r="D332" s="13"/>
      <c r="F332" s="57"/>
    </row>
    <row r="333">
      <c r="D333" s="13"/>
      <c r="F333" s="57"/>
    </row>
    <row r="334">
      <c r="D334" s="13"/>
      <c r="F334" s="57"/>
    </row>
    <row r="335">
      <c r="D335" s="13"/>
      <c r="F335" s="57"/>
    </row>
    <row r="336">
      <c r="D336" s="13"/>
      <c r="F336" s="57"/>
    </row>
    <row r="337">
      <c r="D337" s="13"/>
      <c r="F337" s="57"/>
    </row>
    <row r="338">
      <c r="D338" s="13"/>
      <c r="F338" s="57"/>
    </row>
    <row r="339">
      <c r="D339" s="13"/>
      <c r="F339" s="57"/>
    </row>
    <row r="340">
      <c r="D340" s="13"/>
      <c r="F340" s="57"/>
    </row>
    <row r="341">
      <c r="D341" s="13"/>
      <c r="F341" s="57"/>
    </row>
    <row r="342">
      <c r="D342" s="13"/>
      <c r="F342" s="57"/>
    </row>
    <row r="343">
      <c r="D343" s="13"/>
      <c r="F343" s="57"/>
    </row>
    <row r="344">
      <c r="D344" s="13"/>
      <c r="F344" s="57"/>
    </row>
    <row r="345">
      <c r="D345" s="13"/>
      <c r="F345" s="57"/>
    </row>
    <row r="346">
      <c r="D346" s="13"/>
      <c r="F346" s="57"/>
    </row>
    <row r="347">
      <c r="D347" s="13"/>
      <c r="F347" s="57"/>
    </row>
    <row r="348">
      <c r="D348" s="13"/>
      <c r="F348" s="57"/>
    </row>
    <row r="349">
      <c r="D349" s="13"/>
      <c r="F349" s="57"/>
    </row>
    <row r="350">
      <c r="D350" s="13"/>
      <c r="F350" s="57"/>
    </row>
    <row r="351">
      <c r="D351" s="13"/>
      <c r="F351" s="57"/>
    </row>
    <row r="352">
      <c r="D352" s="13"/>
      <c r="F352" s="57"/>
    </row>
    <row r="353">
      <c r="D353" s="13"/>
      <c r="F353" s="57"/>
    </row>
    <row r="354">
      <c r="D354" s="13"/>
      <c r="F354" s="57"/>
    </row>
    <row r="355">
      <c r="D355" s="13"/>
      <c r="F355" s="57"/>
    </row>
    <row r="356">
      <c r="D356" s="13"/>
      <c r="F356" s="57"/>
    </row>
    <row r="357">
      <c r="D357" s="13"/>
      <c r="F357" s="57"/>
    </row>
    <row r="358">
      <c r="D358" s="13"/>
      <c r="F358" s="57"/>
    </row>
    <row r="359">
      <c r="D359" s="13"/>
      <c r="F359" s="57"/>
    </row>
    <row r="360">
      <c r="D360" s="13"/>
      <c r="F360" s="57"/>
    </row>
    <row r="361">
      <c r="D361" s="13"/>
      <c r="F361" s="57"/>
    </row>
    <row r="362">
      <c r="D362" s="13"/>
      <c r="F362" s="57"/>
    </row>
    <row r="363">
      <c r="D363" s="13"/>
      <c r="F363" s="57"/>
    </row>
    <row r="364">
      <c r="D364" s="13"/>
      <c r="F364" s="57"/>
    </row>
    <row r="365">
      <c r="D365" s="13"/>
      <c r="F365" s="57"/>
    </row>
    <row r="366">
      <c r="D366" s="13"/>
      <c r="F366" s="57"/>
    </row>
    <row r="367">
      <c r="D367" s="13"/>
      <c r="F367" s="57"/>
    </row>
    <row r="368">
      <c r="D368" s="13"/>
      <c r="F368" s="57"/>
    </row>
    <row r="369">
      <c r="D369" s="13"/>
      <c r="F369" s="57"/>
    </row>
    <row r="370">
      <c r="D370" s="13"/>
      <c r="F370" s="57"/>
    </row>
    <row r="371">
      <c r="D371" s="13"/>
      <c r="F371" s="57"/>
    </row>
    <row r="372">
      <c r="D372" s="13"/>
      <c r="F372" s="57"/>
    </row>
    <row r="373">
      <c r="D373" s="13"/>
      <c r="F373" s="57"/>
    </row>
    <row r="374">
      <c r="D374" s="13"/>
      <c r="F374" s="57"/>
    </row>
    <row r="375">
      <c r="D375" s="13"/>
      <c r="F375" s="57"/>
    </row>
    <row r="376">
      <c r="D376" s="13"/>
      <c r="F376" s="57"/>
    </row>
    <row r="377">
      <c r="D377" s="13"/>
      <c r="F377" s="57"/>
    </row>
    <row r="378">
      <c r="D378" s="13"/>
      <c r="F378" s="57"/>
    </row>
    <row r="379">
      <c r="D379" s="13"/>
      <c r="F379" s="57"/>
    </row>
    <row r="380">
      <c r="D380" s="13"/>
      <c r="F380" s="57"/>
    </row>
    <row r="381">
      <c r="D381" s="13"/>
      <c r="F381" s="57"/>
    </row>
    <row r="382">
      <c r="D382" s="13"/>
      <c r="F382" s="57"/>
    </row>
    <row r="383">
      <c r="D383" s="13"/>
      <c r="F383" s="57"/>
    </row>
    <row r="384">
      <c r="D384" s="13"/>
      <c r="F384" s="57"/>
    </row>
    <row r="385">
      <c r="D385" s="13"/>
      <c r="F385" s="57"/>
    </row>
    <row r="386">
      <c r="D386" s="13"/>
      <c r="F386" s="57"/>
    </row>
    <row r="387">
      <c r="D387" s="13"/>
      <c r="F387" s="57"/>
    </row>
    <row r="388">
      <c r="D388" s="13"/>
      <c r="F388" s="57"/>
    </row>
    <row r="389">
      <c r="D389" s="13"/>
      <c r="F389" s="57"/>
    </row>
    <row r="390">
      <c r="D390" s="13"/>
      <c r="F390" s="57"/>
    </row>
    <row r="391">
      <c r="D391" s="13"/>
      <c r="F391" s="57"/>
    </row>
    <row r="392">
      <c r="D392" s="13"/>
      <c r="F392" s="57"/>
    </row>
    <row r="393">
      <c r="D393" s="13"/>
      <c r="F393" s="57"/>
    </row>
    <row r="394">
      <c r="D394" s="13"/>
      <c r="F394" s="57"/>
    </row>
    <row r="395">
      <c r="D395" s="13"/>
      <c r="F395" s="57"/>
    </row>
    <row r="396">
      <c r="D396" s="13"/>
      <c r="F396" s="57"/>
    </row>
    <row r="397">
      <c r="D397" s="13"/>
      <c r="F397" s="57"/>
    </row>
    <row r="398">
      <c r="D398" s="13"/>
      <c r="F398" s="57"/>
    </row>
    <row r="399">
      <c r="D399" s="13"/>
      <c r="F399" s="57"/>
    </row>
    <row r="400">
      <c r="D400" s="13"/>
      <c r="F400" s="57"/>
    </row>
    <row r="401">
      <c r="D401" s="13"/>
      <c r="F401" s="57"/>
    </row>
    <row r="402">
      <c r="D402" s="13"/>
      <c r="F402" s="57"/>
    </row>
    <row r="403">
      <c r="D403" s="13"/>
      <c r="F403" s="57"/>
    </row>
    <row r="404">
      <c r="D404" s="13"/>
      <c r="F404" s="57"/>
    </row>
    <row r="405">
      <c r="D405" s="13"/>
      <c r="F405" s="57"/>
    </row>
    <row r="406">
      <c r="D406" s="13"/>
      <c r="F406" s="57"/>
    </row>
    <row r="407">
      <c r="D407" s="13"/>
      <c r="F407" s="57"/>
    </row>
    <row r="408">
      <c r="D408" s="13"/>
      <c r="F408" s="57"/>
    </row>
    <row r="409">
      <c r="D409" s="13"/>
      <c r="F409" s="57"/>
    </row>
    <row r="410">
      <c r="D410" s="13"/>
      <c r="F410" s="57"/>
    </row>
    <row r="411">
      <c r="D411" s="13"/>
      <c r="F411" s="57"/>
    </row>
    <row r="412">
      <c r="D412" s="13"/>
      <c r="F412" s="57"/>
    </row>
    <row r="413">
      <c r="D413" s="13"/>
      <c r="F413" s="57"/>
    </row>
    <row r="414">
      <c r="D414" s="13"/>
      <c r="F414" s="57"/>
    </row>
    <row r="415">
      <c r="D415" s="13"/>
      <c r="F415" s="57"/>
    </row>
    <row r="416">
      <c r="D416" s="13"/>
      <c r="F416" s="57"/>
    </row>
    <row r="417">
      <c r="D417" s="13"/>
      <c r="F417" s="57"/>
    </row>
    <row r="418">
      <c r="D418" s="13"/>
      <c r="F418" s="57"/>
    </row>
    <row r="419">
      <c r="D419" s="13"/>
      <c r="F419" s="57"/>
    </row>
    <row r="420">
      <c r="D420" s="13"/>
      <c r="F420" s="57"/>
    </row>
    <row r="421">
      <c r="D421" s="13"/>
      <c r="F421" s="57"/>
    </row>
    <row r="422">
      <c r="D422" s="13"/>
      <c r="F422" s="57"/>
    </row>
    <row r="423">
      <c r="D423" s="13"/>
      <c r="F423" s="57"/>
    </row>
    <row r="424">
      <c r="D424" s="13"/>
      <c r="F424" s="57"/>
    </row>
    <row r="425">
      <c r="D425" s="13"/>
      <c r="F425" s="57"/>
    </row>
    <row r="426">
      <c r="D426" s="13"/>
      <c r="F426" s="57"/>
    </row>
    <row r="427">
      <c r="D427" s="13"/>
      <c r="F427" s="57"/>
    </row>
    <row r="428">
      <c r="D428" s="13"/>
      <c r="F428" s="57"/>
    </row>
    <row r="429">
      <c r="D429" s="13"/>
      <c r="F429" s="57"/>
    </row>
    <row r="430">
      <c r="D430" s="13"/>
      <c r="F430" s="57"/>
    </row>
    <row r="431">
      <c r="D431" s="13"/>
      <c r="F431" s="57"/>
    </row>
    <row r="432">
      <c r="D432" s="13"/>
      <c r="F432" s="57"/>
    </row>
    <row r="433">
      <c r="D433" s="13"/>
      <c r="F433" s="57"/>
    </row>
    <row r="434">
      <c r="D434" s="13"/>
      <c r="F434" s="57"/>
    </row>
    <row r="435">
      <c r="D435" s="13"/>
      <c r="F435" s="57"/>
    </row>
    <row r="436">
      <c r="D436" s="13"/>
      <c r="F436" s="57"/>
    </row>
    <row r="437">
      <c r="D437" s="13"/>
      <c r="F437" s="57"/>
    </row>
    <row r="438">
      <c r="D438" s="13"/>
      <c r="F438" s="57"/>
    </row>
    <row r="439">
      <c r="D439" s="13"/>
      <c r="F439" s="57"/>
    </row>
    <row r="440">
      <c r="D440" s="13"/>
      <c r="F440" s="57"/>
    </row>
    <row r="441">
      <c r="D441" s="13"/>
      <c r="F441" s="57"/>
    </row>
    <row r="442">
      <c r="D442" s="13"/>
      <c r="F442" s="57"/>
    </row>
    <row r="443">
      <c r="D443" s="13"/>
      <c r="F443" s="57"/>
    </row>
    <row r="444">
      <c r="D444" s="13"/>
      <c r="F444" s="57"/>
    </row>
    <row r="445">
      <c r="D445" s="13"/>
      <c r="F445" s="57"/>
    </row>
    <row r="446">
      <c r="D446" s="13"/>
      <c r="F446" s="57"/>
    </row>
    <row r="447">
      <c r="D447" s="13"/>
      <c r="F447" s="57"/>
    </row>
    <row r="448">
      <c r="D448" s="13"/>
      <c r="F448" s="57"/>
    </row>
    <row r="449">
      <c r="D449" s="13"/>
      <c r="F449" s="57"/>
    </row>
    <row r="450">
      <c r="D450" s="13"/>
      <c r="F450" s="57"/>
    </row>
    <row r="451">
      <c r="D451" s="13"/>
      <c r="F451" s="57"/>
    </row>
    <row r="452">
      <c r="D452" s="13"/>
      <c r="F452" s="57"/>
    </row>
    <row r="453">
      <c r="D453" s="13"/>
      <c r="F453" s="57"/>
    </row>
    <row r="454">
      <c r="D454" s="13"/>
      <c r="F454" s="57"/>
    </row>
    <row r="455">
      <c r="D455" s="13"/>
      <c r="F455" s="57"/>
    </row>
    <row r="456">
      <c r="D456" s="13"/>
      <c r="F456" s="57"/>
    </row>
    <row r="457">
      <c r="D457" s="13"/>
      <c r="F457" s="57"/>
    </row>
    <row r="458">
      <c r="D458" s="13"/>
      <c r="F458" s="57"/>
    </row>
    <row r="459">
      <c r="D459" s="13"/>
      <c r="F459" s="57"/>
    </row>
    <row r="460">
      <c r="D460" s="13"/>
      <c r="F460" s="57"/>
    </row>
    <row r="461">
      <c r="D461" s="13"/>
      <c r="F461" s="57"/>
    </row>
    <row r="462">
      <c r="D462" s="13"/>
      <c r="F462" s="57"/>
    </row>
    <row r="463">
      <c r="D463" s="13"/>
      <c r="F463" s="57"/>
    </row>
    <row r="464">
      <c r="D464" s="13"/>
      <c r="F464" s="57"/>
    </row>
    <row r="465">
      <c r="D465" s="13"/>
      <c r="F465" s="57"/>
    </row>
    <row r="466">
      <c r="D466" s="13"/>
      <c r="F466" s="57"/>
    </row>
    <row r="467">
      <c r="D467" s="13"/>
      <c r="F467" s="57"/>
    </row>
    <row r="468">
      <c r="D468" s="13"/>
      <c r="F468" s="57"/>
    </row>
    <row r="469">
      <c r="D469" s="13"/>
      <c r="F469" s="57"/>
    </row>
    <row r="470">
      <c r="D470" s="13"/>
      <c r="F470" s="57"/>
    </row>
    <row r="471">
      <c r="D471" s="13"/>
      <c r="F471" s="57"/>
    </row>
    <row r="472">
      <c r="D472" s="13"/>
      <c r="F472" s="57"/>
    </row>
    <row r="473">
      <c r="D473" s="13"/>
      <c r="F473" s="57"/>
    </row>
    <row r="474">
      <c r="D474" s="13"/>
      <c r="F474" s="57"/>
    </row>
    <row r="475">
      <c r="D475" s="13"/>
      <c r="F475" s="57"/>
    </row>
    <row r="476">
      <c r="D476" s="13"/>
      <c r="F476" s="57"/>
    </row>
    <row r="477">
      <c r="D477" s="13"/>
      <c r="F477" s="57"/>
    </row>
    <row r="478">
      <c r="D478" s="13"/>
      <c r="F478" s="57"/>
    </row>
    <row r="479">
      <c r="D479" s="13"/>
      <c r="F479" s="57"/>
    </row>
    <row r="480">
      <c r="D480" s="13"/>
      <c r="F480" s="57"/>
    </row>
    <row r="481">
      <c r="D481" s="13"/>
      <c r="F481" s="57"/>
    </row>
    <row r="482">
      <c r="D482" s="13"/>
      <c r="F482" s="57"/>
    </row>
    <row r="483">
      <c r="D483" s="13"/>
      <c r="F483" s="57"/>
    </row>
    <row r="484">
      <c r="D484" s="13"/>
      <c r="F484" s="57"/>
    </row>
    <row r="485">
      <c r="D485" s="13"/>
      <c r="F485" s="57"/>
    </row>
    <row r="486">
      <c r="D486" s="13"/>
      <c r="F486" s="57"/>
    </row>
    <row r="487">
      <c r="D487" s="13"/>
      <c r="F487" s="57"/>
    </row>
    <row r="488">
      <c r="D488" s="13"/>
      <c r="F488" s="57"/>
    </row>
    <row r="489">
      <c r="D489" s="13"/>
      <c r="F489" s="57"/>
    </row>
    <row r="490">
      <c r="D490" s="13"/>
      <c r="F490" s="57"/>
    </row>
    <row r="491">
      <c r="D491" s="13"/>
      <c r="F491" s="57"/>
    </row>
    <row r="492">
      <c r="D492" s="13"/>
      <c r="F492" s="57"/>
    </row>
    <row r="493">
      <c r="D493" s="13"/>
      <c r="F493" s="57"/>
    </row>
    <row r="494">
      <c r="D494" s="13"/>
      <c r="F494" s="57"/>
    </row>
    <row r="495">
      <c r="D495" s="13"/>
      <c r="F495" s="57"/>
    </row>
    <row r="496">
      <c r="D496" s="13"/>
      <c r="F496" s="57"/>
    </row>
    <row r="497">
      <c r="D497" s="13"/>
      <c r="F497" s="57"/>
    </row>
    <row r="498">
      <c r="D498" s="13"/>
      <c r="F498" s="57"/>
    </row>
    <row r="499">
      <c r="D499" s="13"/>
      <c r="F499" s="57"/>
    </row>
    <row r="500">
      <c r="D500" s="13"/>
      <c r="F500" s="57"/>
    </row>
    <row r="501">
      <c r="D501" s="13"/>
      <c r="F501" s="57"/>
    </row>
    <row r="502">
      <c r="D502" s="13"/>
      <c r="F502" s="57"/>
    </row>
    <row r="503">
      <c r="D503" s="13"/>
      <c r="F503" s="57"/>
    </row>
    <row r="504">
      <c r="D504" s="13"/>
      <c r="F504" s="57"/>
    </row>
    <row r="505">
      <c r="D505" s="13"/>
      <c r="F505" s="57"/>
    </row>
    <row r="506">
      <c r="D506" s="13"/>
      <c r="F506" s="57"/>
    </row>
    <row r="507">
      <c r="D507" s="13"/>
      <c r="F507" s="57"/>
    </row>
    <row r="508">
      <c r="D508" s="13"/>
      <c r="F508" s="57"/>
    </row>
    <row r="509">
      <c r="D509" s="13"/>
      <c r="F509" s="57"/>
    </row>
    <row r="510">
      <c r="D510" s="13"/>
      <c r="F510" s="57"/>
    </row>
    <row r="511">
      <c r="D511" s="13"/>
      <c r="F511" s="57"/>
    </row>
    <row r="512">
      <c r="D512" s="13"/>
      <c r="F512" s="57"/>
    </row>
    <row r="513">
      <c r="D513" s="13"/>
      <c r="F513" s="57"/>
    </row>
    <row r="514">
      <c r="D514" s="13"/>
      <c r="F514" s="57"/>
    </row>
    <row r="515">
      <c r="D515" s="13"/>
      <c r="F515" s="57"/>
    </row>
    <row r="516">
      <c r="D516" s="13"/>
      <c r="F516" s="57"/>
    </row>
    <row r="517">
      <c r="D517" s="13"/>
      <c r="F517" s="57"/>
    </row>
    <row r="518">
      <c r="D518" s="13"/>
      <c r="F518" s="57"/>
    </row>
    <row r="519">
      <c r="D519" s="13"/>
      <c r="F519" s="57"/>
    </row>
    <row r="520">
      <c r="D520" s="13"/>
      <c r="F520" s="57"/>
    </row>
    <row r="521">
      <c r="D521" s="13"/>
      <c r="F521" s="57"/>
    </row>
    <row r="522">
      <c r="D522" s="13"/>
      <c r="F522" s="57"/>
    </row>
    <row r="523">
      <c r="D523" s="13"/>
      <c r="F523" s="57"/>
    </row>
    <row r="524">
      <c r="D524" s="13"/>
      <c r="F524" s="57"/>
    </row>
    <row r="525">
      <c r="D525" s="13"/>
      <c r="F525" s="57"/>
    </row>
    <row r="526">
      <c r="D526" s="13"/>
      <c r="F526" s="57"/>
    </row>
    <row r="527">
      <c r="D527" s="13"/>
      <c r="F527" s="57"/>
    </row>
    <row r="528">
      <c r="D528" s="13"/>
      <c r="F528" s="57"/>
    </row>
    <row r="529">
      <c r="D529" s="13"/>
      <c r="F529" s="57"/>
    </row>
    <row r="530">
      <c r="D530" s="13"/>
      <c r="F530" s="57"/>
    </row>
    <row r="531">
      <c r="D531" s="13"/>
      <c r="F531" s="57"/>
    </row>
    <row r="532">
      <c r="D532" s="13"/>
      <c r="F532" s="57"/>
    </row>
    <row r="533">
      <c r="D533" s="13"/>
      <c r="F533" s="57"/>
    </row>
    <row r="534">
      <c r="D534" s="13"/>
      <c r="F534" s="57"/>
    </row>
    <row r="535">
      <c r="D535" s="13"/>
      <c r="F535" s="57"/>
    </row>
    <row r="536">
      <c r="D536" s="13"/>
      <c r="F536" s="57"/>
    </row>
    <row r="537">
      <c r="D537" s="13"/>
      <c r="F537" s="57"/>
    </row>
    <row r="538">
      <c r="D538" s="13"/>
      <c r="F538" s="57"/>
    </row>
    <row r="539">
      <c r="D539" s="13"/>
      <c r="F539" s="57"/>
    </row>
    <row r="540">
      <c r="D540" s="13"/>
      <c r="F540" s="57"/>
    </row>
    <row r="541">
      <c r="D541" s="13"/>
      <c r="F541" s="57"/>
    </row>
    <row r="542">
      <c r="D542" s="13"/>
      <c r="F542" s="57"/>
    </row>
    <row r="543">
      <c r="D543" s="13"/>
      <c r="F543" s="57"/>
    </row>
    <row r="544">
      <c r="D544" s="13"/>
      <c r="F544" s="57"/>
    </row>
    <row r="545">
      <c r="D545" s="13"/>
      <c r="F545" s="57"/>
    </row>
    <row r="546">
      <c r="D546" s="13"/>
      <c r="F546" s="57"/>
    </row>
    <row r="547">
      <c r="D547" s="13"/>
      <c r="F547" s="57"/>
    </row>
    <row r="548">
      <c r="D548" s="13"/>
      <c r="F548" s="57"/>
    </row>
    <row r="549">
      <c r="D549" s="13"/>
      <c r="F549" s="57"/>
    </row>
    <row r="550">
      <c r="D550" s="13"/>
      <c r="F550" s="57"/>
    </row>
    <row r="551">
      <c r="D551" s="13"/>
      <c r="F551" s="57"/>
    </row>
    <row r="552">
      <c r="D552" s="13"/>
      <c r="F552" s="57"/>
    </row>
    <row r="553">
      <c r="D553" s="13"/>
      <c r="F553" s="57"/>
    </row>
    <row r="554">
      <c r="D554" s="13"/>
      <c r="F554" s="57"/>
    </row>
    <row r="555">
      <c r="D555" s="13"/>
      <c r="F555" s="57"/>
    </row>
    <row r="556">
      <c r="D556" s="13"/>
      <c r="F556" s="57"/>
    </row>
    <row r="557">
      <c r="D557" s="13"/>
      <c r="F557" s="57"/>
    </row>
    <row r="558">
      <c r="D558" s="13"/>
      <c r="F558" s="57"/>
    </row>
    <row r="559">
      <c r="D559" s="13"/>
      <c r="F559" s="57"/>
    </row>
    <row r="560">
      <c r="D560" s="13"/>
      <c r="F560" s="57"/>
    </row>
    <row r="561">
      <c r="D561" s="13"/>
      <c r="F561" s="57"/>
    </row>
    <row r="562">
      <c r="D562" s="13"/>
      <c r="F562" s="57"/>
    </row>
    <row r="563">
      <c r="D563" s="13"/>
      <c r="F563" s="57"/>
    </row>
    <row r="564">
      <c r="D564" s="13"/>
      <c r="F564" s="57"/>
    </row>
    <row r="565">
      <c r="D565" s="13"/>
      <c r="F565" s="57"/>
    </row>
    <row r="566">
      <c r="D566" s="13"/>
      <c r="F566" s="57"/>
    </row>
    <row r="567">
      <c r="D567" s="13"/>
      <c r="F567" s="57"/>
    </row>
    <row r="568">
      <c r="D568" s="13"/>
      <c r="F568" s="57"/>
    </row>
    <row r="569">
      <c r="D569" s="13"/>
      <c r="F569" s="57"/>
    </row>
    <row r="570">
      <c r="D570" s="13"/>
      <c r="F570" s="57"/>
    </row>
    <row r="571">
      <c r="D571" s="13"/>
      <c r="F571" s="57"/>
    </row>
    <row r="572">
      <c r="D572" s="13"/>
      <c r="F572" s="57"/>
    </row>
    <row r="573">
      <c r="D573" s="13"/>
      <c r="F573" s="57"/>
    </row>
    <row r="574">
      <c r="D574" s="13"/>
      <c r="F574" s="57"/>
    </row>
    <row r="575">
      <c r="D575" s="13"/>
      <c r="F575" s="57"/>
    </row>
    <row r="576">
      <c r="D576" s="13"/>
      <c r="F576" s="57"/>
    </row>
    <row r="577">
      <c r="D577" s="13"/>
      <c r="F577" s="57"/>
    </row>
    <row r="578">
      <c r="D578" s="13"/>
      <c r="F578" s="57"/>
    </row>
    <row r="579">
      <c r="D579" s="13"/>
      <c r="F579" s="57"/>
    </row>
    <row r="580">
      <c r="D580" s="13"/>
      <c r="F580" s="57"/>
    </row>
    <row r="581">
      <c r="D581" s="13"/>
      <c r="F581" s="57"/>
    </row>
    <row r="582">
      <c r="D582" s="13"/>
      <c r="F582" s="57"/>
    </row>
    <row r="583">
      <c r="D583" s="13"/>
      <c r="F583" s="57"/>
    </row>
    <row r="584">
      <c r="D584" s="13"/>
      <c r="F584" s="57"/>
    </row>
    <row r="585">
      <c r="D585" s="13"/>
      <c r="F585" s="57"/>
    </row>
    <row r="586">
      <c r="D586" s="13"/>
      <c r="F586" s="57"/>
    </row>
    <row r="587">
      <c r="D587" s="13"/>
      <c r="F587" s="57"/>
    </row>
    <row r="588">
      <c r="D588" s="13"/>
      <c r="F588" s="57"/>
    </row>
    <row r="589">
      <c r="D589" s="13"/>
      <c r="F589" s="57"/>
    </row>
    <row r="590">
      <c r="D590" s="13"/>
      <c r="F590" s="57"/>
    </row>
    <row r="591">
      <c r="D591" s="13"/>
      <c r="F591" s="57"/>
    </row>
    <row r="592">
      <c r="D592" s="13"/>
      <c r="F592" s="57"/>
    </row>
    <row r="593">
      <c r="D593" s="13"/>
      <c r="F593" s="57"/>
    </row>
    <row r="594">
      <c r="D594" s="13"/>
      <c r="F594" s="57"/>
    </row>
    <row r="595">
      <c r="D595" s="13"/>
      <c r="F595" s="57"/>
    </row>
    <row r="596">
      <c r="D596" s="13"/>
      <c r="F596" s="57"/>
    </row>
    <row r="597">
      <c r="D597" s="13"/>
      <c r="F597" s="57"/>
    </row>
    <row r="598">
      <c r="D598" s="13"/>
      <c r="F598" s="57"/>
    </row>
    <row r="599">
      <c r="D599" s="13"/>
      <c r="F599" s="57"/>
    </row>
    <row r="600">
      <c r="D600" s="13"/>
      <c r="F600" s="57"/>
    </row>
    <row r="601">
      <c r="D601" s="13"/>
      <c r="F601" s="57"/>
    </row>
    <row r="602">
      <c r="D602" s="13"/>
      <c r="F602" s="57"/>
    </row>
    <row r="603">
      <c r="D603" s="13"/>
      <c r="F603" s="57"/>
    </row>
    <row r="604">
      <c r="D604" s="13"/>
      <c r="F604" s="57"/>
    </row>
    <row r="605">
      <c r="D605" s="13"/>
      <c r="F605" s="57"/>
    </row>
    <row r="606">
      <c r="D606" s="13"/>
      <c r="F606" s="57"/>
    </row>
    <row r="607">
      <c r="D607" s="13"/>
      <c r="F607" s="57"/>
    </row>
    <row r="608">
      <c r="D608" s="13"/>
      <c r="F608" s="57"/>
    </row>
    <row r="609">
      <c r="D609" s="13"/>
      <c r="F609" s="57"/>
    </row>
    <row r="610">
      <c r="D610" s="13"/>
      <c r="F610" s="57"/>
    </row>
    <row r="611">
      <c r="D611" s="13"/>
      <c r="F611" s="57"/>
    </row>
    <row r="612">
      <c r="D612" s="13"/>
      <c r="F612" s="57"/>
    </row>
    <row r="613">
      <c r="D613" s="13"/>
      <c r="F613" s="57"/>
    </row>
    <row r="614">
      <c r="D614" s="13"/>
      <c r="F614" s="57"/>
    </row>
    <row r="615">
      <c r="D615" s="13"/>
      <c r="F615" s="57"/>
    </row>
    <row r="616">
      <c r="D616" s="13"/>
      <c r="F616" s="57"/>
    </row>
    <row r="617">
      <c r="D617" s="13"/>
      <c r="F617" s="57"/>
    </row>
    <row r="618">
      <c r="D618" s="13"/>
      <c r="F618" s="57"/>
    </row>
    <row r="619">
      <c r="D619" s="13"/>
      <c r="F619" s="57"/>
    </row>
    <row r="620">
      <c r="D620" s="13"/>
      <c r="F620" s="57"/>
    </row>
    <row r="621">
      <c r="D621" s="13"/>
      <c r="F621" s="57"/>
    </row>
    <row r="622">
      <c r="D622" s="13"/>
      <c r="F622" s="57"/>
    </row>
    <row r="623">
      <c r="D623" s="13"/>
      <c r="F623" s="57"/>
    </row>
    <row r="624">
      <c r="D624" s="13"/>
      <c r="F624" s="57"/>
    </row>
    <row r="625">
      <c r="D625" s="13"/>
      <c r="F625" s="57"/>
    </row>
    <row r="626">
      <c r="D626" s="13"/>
      <c r="F626" s="57"/>
    </row>
    <row r="627">
      <c r="D627" s="13"/>
      <c r="F627" s="57"/>
    </row>
    <row r="628">
      <c r="D628" s="13"/>
      <c r="F628" s="57"/>
    </row>
    <row r="629">
      <c r="D629" s="13"/>
      <c r="F629" s="57"/>
    </row>
    <row r="630">
      <c r="D630" s="13"/>
      <c r="F630" s="57"/>
    </row>
    <row r="631">
      <c r="D631" s="13"/>
      <c r="F631" s="57"/>
    </row>
    <row r="632">
      <c r="D632" s="13"/>
      <c r="F632" s="57"/>
    </row>
    <row r="633">
      <c r="D633" s="13"/>
      <c r="F633" s="57"/>
    </row>
    <row r="634">
      <c r="D634" s="13"/>
      <c r="F634" s="57"/>
    </row>
    <row r="635">
      <c r="D635" s="13"/>
      <c r="F635" s="57"/>
    </row>
    <row r="636">
      <c r="D636" s="13"/>
      <c r="F636" s="57"/>
    </row>
    <row r="637">
      <c r="D637" s="13"/>
      <c r="F637" s="57"/>
    </row>
    <row r="638">
      <c r="D638" s="13"/>
      <c r="F638" s="57"/>
    </row>
    <row r="639">
      <c r="D639" s="13"/>
      <c r="F639" s="57"/>
    </row>
    <row r="640">
      <c r="D640" s="13"/>
      <c r="F640" s="57"/>
    </row>
    <row r="641">
      <c r="D641" s="13"/>
      <c r="F641" s="57"/>
    </row>
    <row r="642">
      <c r="D642" s="13"/>
      <c r="F642" s="57"/>
    </row>
    <row r="643">
      <c r="D643" s="13"/>
      <c r="F643" s="57"/>
    </row>
    <row r="644">
      <c r="D644" s="13"/>
      <c r="F644" s="57"/>
    </row>
    <row r="645">
      <c r="D645" s="13"/>
      <c r="F645" s="57"/>
    </row>
    <row r="646">
      <c r="D646" s="13"/>
      <c r="F646" s="57"/>
    </row>
    <row r="647">
      <c r="D647" s="13"/>
      <c r="F647" s="57"/>
    </row>
    <row r="648">
      <c r="D648" s="13"/>
      <c r="F648" s="57"/>
    </row>
    <row r="649">
      <c r="D649" s="13"/>
      <c r="F649" s="57"/>
    </row>
    <row r="650">
      <c r="D650" s="13"/>
      <c r="F650" s="57"/>
    </row>
    <row r="651">
      <c r="D651" s="13"/>
      <c r="F651" s="57"/>
    </row>
    <row r="652">
      <c r="D652" s="13"/>
      <c r="F652" s="57"/>
    </row>
    <row r="653">
      <c r="D653" s="13"/>
      <c r="F653" s="57"/>
    </row>
    <row r="654">
      <c r="D654" s="13"/>
      <c r="F654" s="57"/>
    </row>
    <row r="655">
      <c r="D655" s="13"/>
      <c r="F655" s="57"/>
    </row>
    <row r="656">
      <c r="D656" s="13"/>
      <c r="F656" s="57"/>
    </row>
    <row r="657">
      <c r="D657" s="13"/>
      <c r="F657" s="57"/>
    </row>
    <row r="658">
      <c r="D658" s="13"/>
      <c r="F658" s="57"/>
    </row>
    <row r="659">
      <c r="D659" s="13"/>
      <c r="F659" s="57"/>
    </row>
    <row r="660">
      <c r="D660" s="13"/>
      <c r="F660" s="57"/>
    </row>
    <row r="661">
      <c r="D661" s="13"/>
      <c r="F661" s="57"/>
    </row>
    <row r="662">
      <c r="D662" s="13"/>
      <c r="F662" s="57"/>
    </row>
    <row r="663">
      <c r="D663" s="13"/>
      <c r="F663" s="57"/>
    </row>
    <row r="664">
      <c r="D664" s="13"/>
      <c r="F664" s="57"/>
    </row>
    <row r="665">
      <c r="D665" s="13"/>
      <c r="F665" s="57"/>
    </row>
    <row r="666">
      <c r="D666" s="13"/>
      <c r="F666" s="57"/>
    </row>
    <row r="667">
      <c r="D667" s="13"/>
      <c r="F667" s="57"/>
    </row>
    <row r="668">
      <c r="D668" s="13"/>
      <c r="F668" s="57"/>
    </row>
    <row r="669">
      <c r="D669" s="13"/>
      <c r="F669" s="57"/>
    </row>
    <row r="670">
      <c r="D670" s="13"/>
      <c r="F670" s="57"/>
    </row>
    <row r="671">
      <c r="D671" s="13"/>
      <c r="F671" s="57"/>
    </row>
    <row r="672">
      <c r="D672" s="13"/>
      <c r="F672" s="57"/>
    </row>
    <row r="673">
      <c r="D673" s="13"/>
      <c r="F673" s="57"/>
    </row>
    <row r="674">
      <c r="D674" s="13"/>
      <c r="F674" s="57"/>
    </row>
    <row r="675">
      <c r="D675" s="13"/>
      <c r="F675" s="57"/>
    </row>
    <row r="676">
      <c r="D676" s="13"/>
      <c r="F676" s="57"/>
    </row>
    <row r="677">
      <c r="D677" s="13"/>
      <c r="F677" s="57"/>
    </row>
    <row r="678">
      <c r="D678" s="13"/>
      <c r="F678" s="57"/>
    </row>
    <row r="679">
      <c r="D679" s="13"/>
      <c r="F679" s="57"/>
    </row>
    <row r="680">
      <c r="D680" s="13"/>
      <c r="F680" s="57"/>
    </row>
    <row r="681">
      <c r="D681" s="13"/>
      <c r="F681" s="57"/>
    </row>
    <row r="682">
      <c r="D682" s="13"/>
      <c r="F682" s="57"/>
    </row>
    <row r="683">
      <c r="D683" s="13"/>
      <c r="F683" s="57"/>
    </row>
    <row r="684">
      <c r="D684" s="13"/>
      <c r="F684" s="57"/>
    </row>
    <row r="685">
      <c r="D685" s="13"/>
      <c r="F685" s="57"/>
    </row>
    <row r="686">
      <c r="D686" s="13"/>
      <c r="F686" s="57"/>
    </row>
    <row r="687">
      <c r="D687" s="13"/>
      <c r="F687" s="57"/>
    </row>
    <row r="688">
      <c r="D688" s="13"/>
      <c r="F688" s="57"/>
    </row>
    <row r="689">
      <c r="D689" s="13"/>
      <c r="F689" s="57"/>
    </row>
    <row r="690">
      <c r="D690" s="13"/>
      <c r="F690" s="57"/>
    </row>
    <row r="691">
      <c r="D691" s="13"/>
      <c r="F691" s="57"/>
    </row>
    <row r="692">
      <c r="D692" s="13"/>
      <c r="F692" s="57"/>
    </row>
    <row r="693">
      <c r="D693" s="13"/>
      <c r="F693" s="57"/>
    </row>
    <row r="694">
      <c r="D694" s="13"/>
      <c r="F694" s="57"/>
    </row>
    <row r="695">
      <c r="D695" s="13"/>
      <c r="F695" s="57"/>
    </row>
    <row r="696">
      <c r="D696" s="13"/>
      <c r="F696" s="57"/>
    </row>
    <row r="697">
      <c r="D697" s="13"/>
      <c r="F697" s="57"/>
    </row>
    <row r="698">
      <c r="D698" s="13"/>
      <c r="F698" s="57"/>
    </row>
    <row r="699">
      <c r="D699" s="13"/>
      <c r="F699" s="57"/>
    </row>
    <row r="700">
      <c r="D700" s="13"/>
      <c r="F700" s="57"/>
    </row>
    <row r="701">
      <c r="D701" s="13"/>
      <c r="F701" s="57"/>
    </row>
    <row r="702">
      <c r="D702" s="13"/>
      <c r="F702" s="57"/>
    </row>
    <row r="703">
      <c r="D703" s="13"/>
      <c r="F703" s="57"/>
    </row>
    <row r="704">
      <c r="D704" s="13"/>
      <c r="F704" s="57"/>
    </row>
    <row r="705">
      <c r="D705" s="13"/>
      <c r="F705" s="57"/>
    </row>
    <row r="706">
      <c r="D706" s="13"/>
      <c r="F706" s="57"/>
    </row>
    <row r="707">
      <c r="D707" s="13"/>
      <c r="F707" s="57"/>
    </row>
    <row r="708">
      <c r="D708" s="13"/>
      <c r="F708" s="57"/>
    </row>
    <row r="709">
      <c r="D709" s="13"/>
      <c r="F709" s="57"/>
    </row>
    <row r="710">
      <c r="D710" s="13"/>
      <c r="F710" s="57"/>
    </row>
    <row r="711">
      <c r="D711" s="13"/>
      <c r="F711" s="57"/>
    </row>
    <row r="712">
      <c r="D712" s="13"/>
      <c r="F712" s="57"/>
    </row>
    <row r="713">
      <c r="D713" s="13"/>
      <c r="F713" s="57"/>
    </row>
    <row r="714">
      <c r="D714" s="13"/>
      <c r="F714" s="57"/>
    </row>
    <row r="715">
      <c r="D715" s="13"/>
      <c r="F715" s="57"/>
    </row>
    <row r="716">
      <c r="D716" s="13"/>
      <c r="F716" s="57"/>
    </row>
    <row r="717">
      <c r="D717" s="13"/>
      <c r="F717" s="57"/>
    </row>
    <row r="718">
      <c r="D718" s="13"/>
      <c r="F718" s="57"/>
    </row>
    <row r="719">
      <c r="D719" s="13"/>
      <c r="F719" s="57"/>
    </row>
    <row r="720">
      <c r="D720" s="13"/>
      <c r="F720" s="57"/>
    </row>
    <row r="721">
      <c r="D721" s="13"/>
      <c r="F721" s="57"/>
    </row>
    <row r="722">
      <c r="D722" s="13"/>
      <c r="F722" s="57"/>
    </row>
    <row r="723">
      <c r="D723" s="13"/>
      <c r="F723" s="57"/>
    </row>
    <row r="724">
      <c r="D724" s="13"/>
      <c r="F724" s="57"/>
    </row>
    <row r="725">
      <c r="D725" s="13"/>
      <c r="F725" s="57"/>
    </row>
    <row r="726">
      <c r="D726" s="13"/>
      <c r="F726" s="57"/>
    </row>
    <row r="727">
      <c r="D727" s="13"/>
      <c r="F727" s="57"/>
    </row>
    <row r="728">
      <c r="D728" s="13"/>
      <c r="F728" s="57"/>
    </row>
    <row r="729">
      <c r="D729" s="13"/>
      <c r="F729" s="57"/>
    </row>
    <row r="730">
      <c r="D730" s="13"/>
      <c r="F730" s="57"/>
    </row>
    <row r="731">
      <c r="D731" s="13"/>
      <c r="F731" s="57"/>
    </row>
    <row r="732">
      <c r="D732" s="13"/>
      <c r="F732" s="57"/>
    </row>
    <row r="733">
      <c r="D733" s="13"/>
      <c r="F733" s="57"/>
    </row>
    <row r="734">
      <c r="D734" s="13"/>
      <c r="F734" s="57"/>
    </row>
    <row r="735">
      <c r="D735" s="13"/>
      <c r="F735" s="57"/>
    </row>
    <row r="736">
      <c r="D736" s="13"/>
      <c r="F736" s="57"/>
    </row>
    <row r="737">
      <c r="D737" s="13"/>
      <c r="F737" s="57"/>
    </row>
    <row r="738">
      <c r="D738" s="13"/>
      <c r="F738" s="57"/>
    </row>
    <row r="739">
      <c r="D739" s="13"/>
      <c r="F739" s="57"/>
    </row>
    <row r="740">
      <c r="D740" s="13"/>
      <c r="F740" s="57"/>
    </row>
    <row r="741">
      <c r="D741" s="13"/>
      <c r="F741" s="57"/>
    </row>
    <row r="742">
      <c r="D742" s="13"/>
      <c r="F742" s="57"/>
    </row>
    <row r="743">
      <c r="D743" s="13"/>
      <c r="F743" s="57"/>
    </row>
    <row r="744">
      <c r="D744" s="13"/>
      <c r="F744" s="57"/>
    </row>
    <row r="745">
      <c r="D745" s="13"/>
      <c r="F745" s="57"/>
    </row>
    <row r="746">
      <c r="D746" s="13"/>
      <c r="F746" s="57"/>
    </row>
    <row r="747">
      <c r="D747" s="13"/>
      <c r="F747" s="57"/>
    </row>
    <row r="748">
      <c r="D748" s="13"/>
      <c r="F748" s="57"/>
    </row>
    <row r="749">
      <c r="D749" s="13"/>
      <c r="F749" s="57"/>
    </row>
    <row r="750">
      <c r="D750" s="13"/>
      <c r="F750" s="57"/>
    </row>
    <row r="751">
      <c r="D751" s="13"/>
      <c r="F751" s="57"/>
    </row>
    <row r="752">
      <c r="D752" s="13"/>
      <c r="F752" s="57"/>
    </row>
    <row r="753">
      <c r="D753" s="13"/>
      <c r="F753" s="57"/>
    </row>
    <row r="754">
      <c r="D754" s="13"/>
      <c r="F754" s="57"/>
    </row>
    <row r="755">
      <c r="D755" s="13"/>
      <c r="F755" s="57"/>
    </row>
    <row r="756">
      <c r="D756" s="13"/>
      <c r="F756" s="57"/>
    </row>
    <row r="757">
      <c r="D757" s="13"/>
      <c r="F757" s="57"/>
    </row>
    <row r="758">
      <c r="D758" s="13"/>
      <c r="F758" s="57"/>
    </row>
    <row r="759">
      <c r="D759" s="13"/>
      <c r="F759" s="57"/>
    </row>
    <row r="760">
      <c r="D760" s="13"/>
      <c r="F760" s="57"/>
    </row>
    <row r="761">
      <c r="D761" s="13"/>
      <c r="F761" s="57"/>
    </row>
    <row r="762">
      <c r="D762" s="13"/>
      <c r="F762" s="57"/>
    </row>
    <row r="763">
      <c r="D763" s="13"/>
      <c r="F763" s="57"/>
    </row>
    <row r="764">
      <c r="D764" s="13"/>
      <c r="F764" s="57"/>
    </row>
    <row r="765">
      <c r="D765" s="13"/>
      <c r="F765" s="57"/>
    </row>
    <row r="766">
      <c r="D766" s="13"/>
      <c r="F766" s="57"/>
    </row>
    <row r="767">
      <c r="D767" s="13"/>
      <c r="F767" s="57"/>
    </row>
    <row r="768">
      <c r="D768" s="13"/>
      <c r="F768" s="57"/>
    </row>
    <row r="769">
      <c r="D769" s="13"/>
      <c r="F769" s="57"/>
    </row>
    <row r="770">
      <c r="D770" s="13"/>
      <c r="F770" s="57"/>
    </row>
    <row r="771">
      <c r="D771" s="13"/>
      <c r="F771" s="57"/>
    </row>
    <row r="772">
      <c r="D772" s="13"/>
      <c r="F772" s="57"/>
    </row>
    <row r="773">
      <c r="D773" s="13"/>
      <c r="F773" s="57"/>
    </row>
    <row r="774">
      <c r="D774" s="13"/>
      <c r="F774" s="57"/>
    </row>
    <row r="775">
      <c r="D775" s="13"/>
      <c r="F775" s="57"/>
    </row>
    <row r="776">
      <c r="D776" s="13"/>
      <c r="F776" s="57"/>
    </row>
    <row r="777">
      <c r="D777" s="13"/>
      <c r="F777" s="57"/>
    </row>
    <row r="778">
      <c r="D778" s="13"/>
      <c r="F778" s="57"/>
    </row>
    <row r="779">
      <c r="D779" s="13"/>
      <c r="F779" s="57"/>
    </row>
    <row r="780">
      <c r="D780" s="13"/>
      <c r="F780" s="57"/>
    </row>
    <row r="781">
      <c r="D781" s="13"/>
      <c r="F781" s="57"/>
    </row>
    <row r="782">
      <c r="D782" s="13"/>
      <c r="F782" s="57"/>
    </row>
    <row r="783">
      <c r="D783" s="13"/>
      <c r="F783" s="57"/>
    </row>
    <row r="784">
      <c r="D784" s="13"/>
      <c r="F784" s="57"/>
    </row>
    <row r="785">
      <c r="D785" s="13"/>
      <c r="F785" s="57"/>
    </row>
    <row r="786">
      <c r="D786" s="13"/>
      <c r="F786" s="57"/>
    </row>
    <row r="787">
      <c r="D787" s="13"/>
      <c r="F787" s="57"/>
    </row>
    <row r="788">
      <c r="D788" s="13"/>
      <c r="F788" s="57"/>
    </row>
    <row r="789">
      <c r="D789" s="13"/>
      <c r="F789" s="57"/>
    </row>
    <row r="790">
      <c r="D790" s="13"/>
      <c r="F790" s="57"/>
    </row>
    <row r="791">
      <c r="D791" s="13"/>
      <c r="F791" s="57"/>
    </row>
    <row r="792">
      <c r="D792" s="13"/>
      <c r="F792" s="57"/>
    </row>
    <row r="793">
      <c r="D793" s="13"/>
      <c r="F793" s="57"/>
    </row>
    <row r="794">
      <c r="D794" s="13"/>
      <c r="F794" s="57"/>
    </row>
    <row r="795">
      <c r="D795" s="13"/>
      <c r="F795" s="57"/>
    </row>
    <row r="796">
      <c r="D796" s="13"/>
      <c r="F796" s="57"/>
    </row>
    <row r="797">
      <c r="D797" s="13"/>
      <c r="F797" s="57"/>
    </row>
    <row r="798">
      <c r="D798" s="13"/>
      <c r="F798" s="57"/>
    </row>
    <row r="799">
      <c r="D799" s="13"/>
      <c r="F799" s="57"/>
    </row>
    <row r="800">
      <c r="D800" s="13"/>
      <c r="F800" s="57"/>
    </row>
    <row r="801">
      <c r="D801" s="13"/>
      <c r="F801" s="57"/>
    </row>
    <row r="802">
      <c r="D802" s="13"/>
      <c r="F802" s="57"/>
    </row>
    <row r="803">
      <c r="D803" s="13"/>
      <c r="F803" s="57"/>
    </row>
    <row r="804">
      <c r="D804" s="13"/>
      <c r="F804" s="57"/>
    </row>
    <row r="805">
      <c r="D805" s="13"/>
      <c r="F805" s="57"/>
    </row>
    <row r="806">
      <c r="D806" s="13"/>
      <c r="F806" s="57"/>
    </row>
    <row r="807">
      <c r="D807" s="13"/>
      <c r="F807" s="57"/>
    </row>
    <row r="808">
      <c r="D808" s="13"/>
      <c r="F808" s="57"/>
    </row>
    <row r="809">
      <c r="D809" s="13"/>
      <c r="F809" s="57"/>
    </row>
    <row r="810">
      <c r="D810" s="13"/>
      <c r="F810" s="57"/>
    </row>
    <row r="811">
      <c r="D811" s="13"/>
      <c r="F811" s="57"/>
    </row>
    <row r="812">
      <c r="D812" s="13"/>
      <c r="F812" s="57"/>
    </row>
    <row r="813">
      <c r="D813" s="13"/>
      <c r="F813" s="57"/>
    </row>
    <row r="814">
      <c r="D814" s="13"/>
      <c r="F814" s="57"/>
    </row>
    <row r="815">
      <c r="D815" s="13"/>
      <c r="F815" s="57"/>
    </row>
    <row r="816">
      <c r="D816" s="13"/>
      <c r="F816" s="57"/>
    </row>
    <row r="817">
      <c r="D817" s="13"/>
      <c r="F817" s="57"/>
    </row>
    <row r="818">
      <c r="D818" s="13"/>
      <c r="F818" s="57"/>
    </row>
    <row r="819">
      <c r="D819" s="13"/>
      <c r="F819" s="57"/>
    </row>
    <row r="820">
      <c r="D820" s="13"/>
      <c r="F820" s="57"/>
    </row>
    <row r="821">
      <c r="D821" s="13"/>
      <c r="F821" s="57"/>
    </row>
    <row r="822">
      <c r="D822" s="13"/>
      <c r="F822" s="57"/>
    </row>
    <row r="823">
      <c r="D823" s="13"/>
      <c r="F823" s="57"/>
    </row>
    <row r="824">
      <c r="D824" s="13"/>
      <c r="F824" s="57"/>
    </row>
    <row r="825">
      <c r="D825" s="13"/>
      <c r="F825" s="57"/>
    </row>
    <row r="826">
      <c r="D826" s="13"/>
      <c r="F826" s="57"/>
    </row>
    <row r="827">
      <c r="D827" s="13"/>
      <c r="F827" s="57"/>
    </row>
    <row r="828">
      <c r="D828" s="13"/>
      <c r="F828" s="57"/>
    </row>
    <row r="829">
      <c r="D829" s="13"/>
      <c r="F829" s="57"/>
    </row>
    <row r="830">
      <c r="D830" s="13"/>
      <c r="F830" s="57"/>
    </row>
    <row r="831">
      <c r="D831" s="13"/>
      <c r="F831" s="57"/>
    </row>
    <row r="832">
      <c r="D832" s="13"/>
      <c r="F832" s="57"/>
    </row>
    <row r="833">
      <c r="D833" s="13"/>
      <c r="F833" s="57"/>
    </row>
    <row r="834">
      <c r="D834" s="13"/>
      <c r="F834" s="57"/>
    </row>
    <row r="835">
      <c r="D835" s="13"/>
      <c r="F835" s="57"/>
    </row>
    <row r="836">
      <c r="D836" s="13"/>
      <c r="F836" s="57"/>
    </row>
    <row r="837">
      <c r="D837" s="13"/>
      <c r="F837" s="57"/>
    </row>
    <row r="838">
      <c r="D838" s="13"/>
      <c r="F838" s="57"/>
    </row>
    <row r="839">
      <c r="D839" s="13"/>
      <c r="F839" s="57"/>
    </row>
    <row r="840">
      <c r="D840" s="13"/>
      <c r="F840" s="57"/>
    </row>
    <row r="841">
      <c r="D841" s="13"/>
      <c r="F841" s="57"/>
    </row>
    <row r="842">
      <c r="D842" s="13"/>
      <c r="F842" s="57"/>
    </row>
    <row r="843">
      <c r="D843" s="13"/>
      <c r="F843" s="57"/>
    </row>
    <row r="844">
      <c r="D844" s="13"/>
      <c r="F844" s="57"/>
    </row>
    <row r="845">
      <c r="D845" s="13"/>
      <c r="F845" s="57"/>
    </row>
    <row r="846">
      <c r="D846" s="13"/>
      <c r="F846" s="57"/>
    </row>
    <row r="847">
      <c r="D847" s="13"/>
      <c r="F847" s="57"/>
    </row>
    <row r="848">
      <c r="D848" s="13"/>
      <c r="F848" s="57"/>
    </row>
    <row r="849">
      <c r="D849" s="13"/>
      <c r="F849" s="57"/>
    </row>
    <row r="850">
      <c r="D850" s="13"/>
      <c r="F850" s="57"/>
    </row>
    <row r="851">
      <c r="D851" s="13"/>
      <c r="F851" s="57"/>
    </row>
    <row r="852">
      <c r="D852" s="13"/>
      <c r="F852" s="57"/>
    </row>
    <row r="853">
      <c r="D853" s="13"/>
      <c r="F853" s="57"/>
    </row>
    <row r="854">
      <c r="D854" s="13"/>
      <c r="F854" s="57"/>
    </row>
    <row r="855">
      <c r="D855" s="13"/>
      <c r="F855" s="57"/>
    </row>
    <row r="856">
      <c r="D856" s="13"/>
      <c r="F856" s="57"/>
    </row>
    <row r="857">
      <c r="D857" s="13"/>
      <c r="F857" s="57"/>
    </row>
    <row r="858">
      <c r="D858" s="13"/>
      <c r="F858" s="57"/>
    </row>
    <row r="859">
      <c r="D859" s="13"/>
      <c r="F859" s="57"/>
    </row>
    <row r="860">
      <c r="D860" s="13"/>
      <c r="F860" s="57"/>
    </row>
    <row r="861">
      <c r="D861" s="13"/>
      <c r="F861" s="57"/>
    </row>
    <row r="862">
      <c r="D862" s="13"/>
      <c r="F862" s="57"/>
    </row>
    <row r="863">
      <c r="D863" s="13"/>
      <c r="F863" s="57"/>
    </row>
    <row r="864">
      <c r="D864" s="13"/>
      <c r="F864" s="57"/>
    </row>
    <row r="865">
      <c r="D865" s="13"/>
      <c r="F865" s="57"/>
    </row>
    <row r="866">
      <c r="D866" s="13"/>
      <c r="F866" s="57"/>
    </row>
    <row r="867">
      <c r="D867" s="13"/>
      <c r="F867" s="57"/>
    </row>
    <row r="868">
      <c r="D868" s="13"/>
      <c r="F868" s="57"/>
    </row>
    <row r="869">
      <c r="D869" s="13"/>
      <c r="F869" s="57"/>
    </row>
    <row r="870">
      <c r="D870" s="13"/>
      <c r="F870" s="57"/>
    </row>
    <row r="871">
      <c r="D871" s="13"/>
      <c r="F871" s="57"/>
    </row>
    <row r="872">
      <c r="D872" s="13"/>
      <c r="F872" s="57"/>
    </row>
    <row r="873">
      <c r="D873" s="13"/>
      <c r="F873" s="57"/>
    </row>
    <row r="874">
      <c r="D874" s="13"/>
      <c r="F874" s="57"/>
    </row>
    <row r="875">
      <c r="D875" s="13"/>
      <c r="F875" s="57"/>
    </row>
    <row r="876">
      <c r="D876" s="13"/>
      <c r="F876" s="57"/>
    </row>
    <row r="877">
      <c r="D877" s="13"/>
      <c r="F877" s="57"/>
    </row>
    <row r="878">
      <c r="D878" s="13"/>
      <c r="F878" s="57"/>
    </row>
    <row r="879">
      <c r="D879" s="13"/>
      <c r="F879" s="57"/>
    </row>
    <row r="880">
      <c r="D880" s="13"/>
      <c r="F880" s="57"/>
    </row>
    <row r="881">
      <c r="D881" s="13"/>
      <c r="F881" s="57"/>
    </row>
    <row r="882">
      <c r="D882" s="13"/>
      <c r="F882" s="57"/>
    </row>
    <row r="883">
      <c r="D883" s="13"/>
      <c r="F883" s="57"/>
    </row>
    <row r="884">
      <c r="D884" s="13"/>
      <c r="F884" s="57"/>
    </row>
    <row r="885">
      <c r="D885" s="13"/>
      <c r="F885" s="57"/>
    </row>
    <row r="886">
      <c r="D886" s="13"/>
      <c r="F886" s="57"/>
    </row>
    <row r="887">
      <c r="D887" s="13"/>
      <c r="F887" s="57"/>
    </row>
    <row r="888">
      <c r="D888" s="13"/>
      <c r="F888" s="57"/>
    </row>
    <row r="889">
      <c r="D889" s="13"/>
      <c r="F889" s="57"/>
    </row>
    <row r="890">
      <c r="D890" s="13"/>
      <c r="F890" s="57"/>
    </row>
    <row r="891">
      <c r="D891" s="13"/>
      <c r="F891" s="57"/>
    </row>
    <row r="892">
      <c r="D892" s="13"/>
      <c r="F892" s="57"/>
    </row>
    <row r="893">
      <c r="D893" s="13"/>
      <c r="F893" s="57"/>
    </row>
    <row r="894">
      <c r="D894" s="13"/>
      <c r="F894" s="57"/>
    </row>
    <row r="895">
      <c r="D895" s="13"/>
      <c r="F895" s="57"/>
    </row>
    <row r="896">
      <c r="D896" s="13"/>
      <c r="F896" s="57"/>
    </row>
    <row r="897">
      <c r="D897" s="13"/>
      <c r="F897" s="57"/>
    </row>
    <row r="898">
      <c r="D898" s="13"/>
      <c r="F898" s="57"/>
    </row>
    <row r="899">
      <c r="D899" s="13"/>
      <c r="F899" s="57"/>
    </row>
    <row r="900">
      <c r="D900" s="13"/>
      <c r="F900" s="57"/>
    </row>
    <row r="901">
      <c r="D901" s="13"/>
      <c r="F901" s="57"/>
    </row>
    <row r="902">
      <c r="D902" s="13"/>
      <c r="F902" s="57"/>
    </row>
    <row r="903">
      <c r="D903" s="13"/>
      <c r="F903" s="57"/>
    </row>
    <row r="904">
      <c r="D904" s="13"/>
      <c r="F904" s="57"/>
    </row>
    <row r="905">
      <c r="D905" s="13"/>
      <c r="F905" s="57"/>
    </row>
    <row r="906">
      <c r="D906" s="13"/>
      <c r="F906" s="57"/>
    </row>
    <row r="907">
      <c r="D907" s="13"/>
      <c r="F907" s="57"/>
    </row>
    <row r="908">
      <c r="D908" s="13"/>
      <c r="F908" s="57"/>
    </row>
    <row r="909">
      <c r="D909" s="13"/>
      <c r="F909" s="57"/>
    </row>
    <row r="910">
      <c r="D910" s="13"/>
      <c r="F910" s="57"/>
    </row>
    <row r="911">
      <c r="D911" s="13"/>
      <c r="F911" s="57"/>
    </row>
    <row r="912">
      <c r="D912" s="13"/>
      <c r="F912" s="57"/>
    </row>
    <row r="913">
      <c r="D913" s="13"/>
      <c r="F913" s="57"/>
    </row>
    <row r="914">
      <c r="D914" s="13"/>
      <c r="F914" s="57"/>
    </row>
    <row r="915">
      <c r="D915" s="13"/>
      <c r="F915" s="57"/>
    </row>
    <row r="916">
      <c r="D916" s="13"/>
      <c r="F916" s="57"/>
    </row>
    <row r="917">
      <c r="D917" s="13"/>
      <c r="F917" s="57"/>
    </row>
    <row r="918">
      <c r="D918" s="13"/>
      <c r="F918" s="57"/>
    </row>
    <row r="919">
      <c r="D919" s="13"/>
      <c r="F919" s="57"/>
    </row>
    <row r="920">
      <c r="D920" s="13"/>
      <c r="F920" s="57"/>
    </row>
    <row r="921">
      <c r="D921" s="13"/>
      <c r="F921" s="57"/>
    </row>
    <row r="922">
      <c r="D922" s="13"/>
      <c r="F922" s="57"/>
    </row>
    <row r="923">
      <c r="D923" s="13"/>
      <c r="F923" s="57"/>
    </row>
    <row r="924">
      <c r="D924" s="13"/>
      <c r="F924" s="57"/>
    </row>
    <row r="925">
      <c r="D925" s="13"/>
      <c r="F925" s="57"/>
    </row>
    <row r="926">
      <c r="D926" s="13"/>
      <c r="F926" s="57"/>
    </row>
    <row r="927">
      <c r="D927" s="13"/>
      <c r="F927" s="57"/>
    </row>
    <row r="928">
      <c r="D928" s="13"/>
      <c r="F928" s="57"/>
    </row>
    <row r="929">
      <c r="D929" s="13"/>
      <c r="F929" s="57"/>
    </row>
    <row r="930">
      <c r="D930" s="13"/>
      <c r="F930" s="57"/>
    </row>
    <row r="931">
      <c r="D931" s="13"/>
      <c r="F931" s="57"/>
    </row>
    <row r="932">
      <c r="D932" s="13"/>
      <c r="F932" s="57"/>
    </row>
    <row r="933">
      <c r="D933" s="13"/>
      <c r="F933" s="57"/>
    </row>
    <row r="934">
      <c r="D934" s="13"/>
      <c r="F934" s="57"/>
    </row>
    <row r="935">
      <c r="D935" s="13"/>
      <c r="F935" s="57"/>
    </row>
    <row r="936">
      <c r="D936" s="13"/>
      <c r="F936" s="57"/>
    </row>
    <row r="937">
      <c r="D937" s="13"/>
      <c r="F937" s="57"/>
    </row>
    <row r="938">
      <c r="D938" s="13"/>
      <c r="F938" s="57"/>
    </row>
    <row r="939">
      <c r="D939" s="13"/>
      <c r="F939" s="57"/>
    </row>
    <row r="940">
      <c r="D940" s="13"/>
      <c r="F940" s="57"/>
    </row>
    <row r="941">
      <c r="D941" s="13"/>
      <c r="F941" s="57"/>
    </row>
    <row r="942">
      <c r="D942" s="13"/>
      <c r="F942" s="57"/>
    </row>
    <row r="943">
      <c r="D943" s="13"/>
      <c r="F943" s="57"/>
    </row>
    <row r="944">
      <c r="D944" s="13"/>
      <c r="F944" s="57"/>
    </row>
    <row r="945">
      <c r="D945" s="13"/>
      <c r="F945" s="57"/>
    </row>
    <row r="946">
      <c r="D946" s="13"/>
      <c r="F946" s="57"/>
    </row>
    <row r="947">
      <c r="D947" s="13"/>
      <c r="F947" s="57"/>
    </row>
    <row r="948">
      <c r="D948" s="13"/>
      <c r="F948" s="57"/>
    </row>
    <row r="949">
      <c r="D949" s="13"/>
      <c r="F949" s="57"/>
    </row>
    <row r="950">
      <c r="D950" s="13"/>
      <c r="F950" s="57"/>
    </row>
    <row r="951">
      <c r="D951" s="13"/>
      <c r="F951" s="57"/>
    </row>
    <row r="952">
      <c r="D952" s="13"/>
      <c r="F952" s="57"/>
    </row>
    <row r="953">
      <c r="D953" s="13"/>
      <c r="F953" s="57"/>
    </row>
    <row r="954">
      <c r="D954" s="13"/>
      <c r="F954" s="57"/>
    </row>
    <row r="955">
      <c r="D955" s="13"/>
      <c r="F955" s="57"/>
    </row>
    <row r="956">
      <c r="D956" s="13"/>
      <c r="F956" s="57"/>
    </row>
    <row r="957">
      <c r="D957" s="13"/>
      <c r="F957" s="57"/>
    </row>
    <row r="958">
      <c r="D958" s="13"/>
      <c r="F958" s="57"/>
    </row>
    <row r="959">
      <c r="D959" s="13"/>
      <c r="F959" s="57"/>
    </row>
    <row r="960">
      <c r="D960" s="13"/>
      <c r="F960" s="57"/>
    </row>
    <row r="961">
      <c r="D961" s="13"/>
      <c r="F961" s="57"/>
    </row>
    <row r="962">
      <c r="D962" s="13"/>
      <c r="F962" s="57"/>
    </row>
    <row r="963">
      <c r="D963" s="13"/>
      <c r="F963" s="57"/>
    </row>
    <row r="964">
      <c r="D964" s="13"/>
      <c r="F964" s="57"/>
    </row>
    <row r="965">
      <c r="D965" s="13"/>
      <c r="F965" s="57"/>
    </row>
    <row r="966">
      <c r="D966" s="13"/>
      <c r="F966" s="57"/>
    </row>
    <row r="967">
      <c r="D967" s="13"/>
      <c r="F967" s="57"/>
    </row>
    <row r="968">
      <c r="D968" s="13"/>
      <c r="F968" s="57"/>
    </row>
    <row r="969">
      <c r="D969" s="13"/>
      <c r="F969" s="57"/>
    </row>
    <row r="970">
      <c r="D970" s="13"/>
      <c r="F970" s="57"/>
    </row>
    <row r="971">
      <c r="D971" s="13"/>
      <c r="F971" s="57"/>
    </row>
    <row r="972">
      <c r="D972" s="13"/>
      <c r="F972" s="57"/>
    </row>
    <row r="973">
      <c r="D973" s="13"/>
      <c r="F973" s="57"/>
    </row>
    <row r="974">
      <c r="D974" s="13"/>
      <c r="F974" s="57"/>
    </row>
    <row r="975">
      <c r="D975" s="13"/>
      <c r="F975" s="57"/>
    </row>
    <row r="976">
      <c r="D976" s="13"/>
      <c r="F976" s="57"/>
    </row>
    <row r="977">
      <c r="D977" s="13"/>
      <c r="F977" s="57"/>
    </row>
    <row r="978">
      <c r="D978" s="13"/>
      <c r="F978" s="57"/>
    </row>
    <row r="979">
      <c r="D979" s="13"/>
      <c r="F979" s="57"/>
    </row>
    <row r="980">
      <c r="D980" s="13"/>
      <c r="F980" s="57"/>
    </row>
    <row r="981">
      <c r="D981" s="13"/>
      <c r="F981" s="57"/>
    </row>
    <row r="982">
      <c r="D982" s="13"/>
      <c r="F982" s="57"/>
    </row>
    <row r="983">
      <c r="D983" s="13"/>
      <c r="F983" s="57"/>
    </row>
    <row r="984">
      <c r="D984" s="13"/>
      <c r="F984" s="57"/>
    </row>
    <row r="985">
      <c r="D985" s="13"/>
      <c r="F985" s="57"/>
    </row>
    <row r="986">
      <c r="D986" s="13"/>
      <c r="F986" s="57"/>
    </row>
    <row r="987">
      <c r="D987" s="13"/>
      <c r="F987" s="57"/>
    </row>
    <row r="988">
      <c r="D988" s="13"/>
      <c r="F988" s="57"/>
    </row>
    <row r="989">
      <c r="D989" s="13"/>
      <c r="F989" s="57"/>
    </row>
    <row r="990">
      <c r="D990" s="13"/>
      <c r="F990" s="57"/>
    </row>
    <row r="991">
      <c r="D991" s="13"/>
      <c r="F991" s="57"/>
    </row>
    <row r="992">
      <c r="D992" s="13"/>
      <c r="F992" s="57"/>
    </row>
    <row r="993">
      <c r="D993" s="13"/>
      <c r="F993" s="57"/>
    </row>
    <row r="994">
      <c r="D994" s="13"/>
      <c r="F994" s="57"/>
    </row>
    <row r="995">
      <c r="D995" s="13"/>
      <c r="F995" s="57"/>
    </row>
    <row r="996">
      <c r="D996" s="13"/>
      <c r="F996" s="57"/>
    </row>
    <row r="997">
      <c r="D997" s="13"/>
      <c r="F997" s="57"/>
    </row>
    <row r="998">
      <c r="D998" s="13"/>
      <c r="F998" s="57"/>
    </row>
    <row r="999">
      <c r="D999" s="13"/>
      <c r="F999" s="57"/>
    </row>
    <row r="1000">
      <c r="D1000" s="13"/>
      <c r="F1000" s="57"/>
    </row>
  </sheetData>
  <mergeCells count="1">
    <mergeCell ref="C25:J26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9.5"/>
    <col customWidth="1" min="3" max="3" width="20.75"/>
    <col customWidth="1" min="4" max="4" width="25.25"/>
    <col customWidth="1" min="5" max="5" width="18.0"/>
    <col customWidth="1" min="6" max="6" width="19.63"/>
    <col customWidth="1" min="8" max="8" width="19.75"/>
    <col customWidth="1" min="9" max="9" width="11.88"/>
    <col customWidth="1" min="10" max="10" width="13.38"/>
    <col customWidth="1" min="11" max="11" width="9.38"/>
    <col customWidth="1" min="12" max="12" width="11.88"/>
    <col customWidth="1" min="13" max="13" width="7.63"/>
  </cols>
  <sheetData>
    <row r="1" ht="22.5" customHeight="1">
      <c r="A1" s="132" t="s">
        <v>0</v>
      </c>
      <c r="B1" s="132" t="s">
        <v>2</v>
      </c>
      <c r="C1" s="133" t="s">
        <v>114</v>
      </c>
      <c r="D1" s="133" t="s">
        <v>4</v>
      </c>
      <c r="E1" s="132" t="s">
        <v>5</v>
      </c>
      <c r="F1" s="134" t="s">
        <v>6</v>
      </c>
    </row>
    <row r="2" ht="22.5" customHeight="1">
      <c r="A2" s="135" t="s">
        <v>25</v>
      </c>
      <c r="B2" s="136" t="s">
        <v>426</v>
      </c>
      <c r="C2" s="136" t="s">
        <v>427</v>
      </c>
      <c r="D2" s="137">
        <v>30000.0</v>
      </c>
      <c r="F2" s="138"/>
    </row>
    <row r="3" ht="22.5" customHeight="1">
      <c r="A3" s="135" t="s">
        <v>25</v>
      </c>
      <c r="B3" s="136" t="s">
        <v>428</v>
      </c>
      <c r="C3" s="139" t="s">
        <v>427</v>
      </c>
      <c r="D3" s="137">
        <v>220000.0</v>
      </c>
      <c r="F3" s="138"/>
    </row>
    <row r="4" ht="22.5" customHeight="1">
      <c r="A4" s="136" t="s">
        <v>23</v>
      </c>
      <c r="C4" s="139" t="s">
        <v>427</v>
      </c>
      <c r="D4" s="137">
        <v>0.0</v>
      </c>
      <c r="E4" s="136" t="s">
        <v>384</v>
      </c>
      <c r="F4" s="140">
        <v>20000.0</v>
      </c>
    </row>
    <row r="5" ht="22.5" customHeight="1">
      <c r="A5" s="136" t="s">
        <v>25</v>
      </c>
      <c r="B5" s="136" t="s">
        <v>429</v>
      </c>
      <c r="C5" s="139" t="s">
        <v>427</v>
      </c>
      <c r="D5" s="137">
        <v>20000.0</v>
      </c>
      <c r="F5" s="138"/>
    </row>
    <row r="6" ht="22.5" customHeight="1">
      <c r="A6" s="136" t="s">
        <v>25</v>
      </c>
      <c r="B6" s="136" t="s">
        <v>430</v>
      </c>
      <c r="C6" s="139" t="s">
        <v>427</v>
      </c>
      <c r="D6" s="137">
        <v>100000.0</v>
      </c>
      <c r="F6" s="138"/>
    </row>
    <row r="7" ht="22.5" customHeight="1">
      <c r="A7" s="136" t="s">
        <v>25</v>
      </c>
      <c r="B7" s="136" t="s">
        <v>422</v>
      </c>
      <c r="C7" s="139" t="s">
        <v>427</v>
      </c>
      <c r="D7" s="137">
        <v>7000.0</v>
      </c>
      <c r="F7" s="138"/>
    </row>
    <row r="8" ht="22.5" customHeight="1">
      <c r="A8" s="136" t="s">
        <v>25</v>
      </c>
      <c r="B8" s="136" t="s">
        <v>431</v>
      </c>
      <c r="C8" s="139" t="s">
        <v>427</v>
      </c>
      <c r="D8" s="137">
        <v>7500.0</v>
      </c>
      <c r="F8" s="138"/>
    </row>
    <row r="9" ht="22.5" customHeight="1">
      <c r="A9" s="136" t="s">
        <v>23</v>
      </c>
      <c r="C9" s="139" t="s">
        <v>427</v>
      </c>
      <c r="D9" s="137">
        <v>0.0</v>
      </c>
      <c r="E9" s="136" t="s">
        <v>432</v>
      </c>
      <c r="F9" s="140">
        <v>25000.0</v>
      </c>
    </row>
    <row r="10" ht="22.5" customHeight="1">
      <c r="A10" s="136" t="s">
        <v>23</v>
      </c>
      <c r="C10" s="139" t="s">
        <v>427</v>
      </c>
      <c r="D10" s="137">
        <v>0.0</v>
      </c>
      <c r="E10" s="136" t="s">
        <v>422</v>
      </c>
      <c r="F10" s="140">
        <v>40000.0</v>
      </c>
    </row>
    <row r="11" ht="22.5" customHeight="1">
      <c r="D11" s="141"/>
      <c r="F11" s="142"/>
    </row>
    <row r="12" ht="22.5" customHeight="1">
      <c r="D12" s="141"/>
      <c r="F12" s="142"/>
    </row>
    <row r="13" ht="22.5" customHeight="1">
      <c r="D13" s="141"/>
      <c r="F13" s="142"/>
    </row>
    <row r="14" ht="22.5" customHeight="1">
      <c r="D14" s="141"/>
      <c r="F14" s="142"/>
    </row>
    <row r="15" ht="22.5" customHeight="1">
      <c r="D15" s="141"/>
      <c r="F15" s="142"/>
    </row>
    <row r="16">
      <c r="D16" s="13"/>
      <c r="F16" s="57"/>
    </row>
    <row r="17">
      <c r="D17" s="13"/>
      <c r="F17" s="57"/>
    </row>
    <row r="18">
      <c r="D18" s="13"/>
      <c r="F18" s="57"/>
      <c r="H18" s="15" t="s">
        <v>26</v>
      </c>
      <c r="J18" s="16" t="s">
        <v>177</v>
      </c>
    </row>
    <row r="19">
      <c r="D19" s="13">
        <f>SUM(D2:D16)</f>
        <v>384500</v>
      </c>
      <c r="F19" s="57">
        <f>SUM(F2:F16)</f>
        <v>85000</v>
      </c>
      <c r="H19" s="18">
        <f>F19/D19</f>
        <v>0.2210663199</v>
      </c>
      <c r="J19" s="59">
        <f>(D19)*3/100</f>
        <v>11535</v>
      </c>
      <c r="K19" s="1" t="s">
        <v>249</v>
      </c>
    </row>
    <row r="20">
      <c r="D20" s="13"/>
      <c r="F20" s="57"/>
      <c r="J20" s="59">
        <f t="shared" ref="J20:J21" si="1">J19</f>
        <v>11535</v>
      </c>
      <c r="K20" s="1" t="s">
        <v>252</v>
      </c>
    </row>
    <row r="21">
      <c r="D21" s="13"/>
      <c r="F21" s="57"/>
      <c r="J21" s="59">
        <f t="shared" si="1"/>
        <v>11535</v>
      </c>
      <c r="K21" s="1" t="s">
        <v>254</v>
      </c>
    </row>
    <row r="22">
      <c r="D22" s="13"/>
      <c r="F22" s="57"/>
    </row>
    <row r="23">
      <c r="D23" s="13"/>
      <c r="F23" s="57"/>
    </row>
    <row r="24">
      <c r="D24" s="13"/>
      <c r="F24" s="57"/>
    </row>
    <row r="25">
      <c r="C25" s="22" t="s">
        <v>41</v>
      </c>
      <c r="D25" s="23"/>
      <c r="E25" s="23"/>
      <c r="F25" s="23"/>
      <c r="G25" s="23"/>
      <c r="H25" s="23"/>
      <c r="I25" s="23"/>
      <c r="J25" s="24"/>
    </row>
    <row r="26">
      <c r="C26" s="27"/>
      <c r="D26" s="28"/>
      <c r="E26" s="28"/>
      <c r="F26" s="28"/>
      <c r="G26" s="28"/>
      <c r="H26" s="28"/>
      <c r="I26" s="28"/>
      <c r="J26" s="29"/>
    </row>
    <row r="27">
      <c r="C27" s="32"/>
      <c r="D27" s="32" t="s">
        <v>49</v>
      </c>
      <c r="E27" s="32" t="s">
        <v>51</v>
      </c>
      <c r="F27" s="32" t="s">
        <v>52</v>
      </c>
      <c r="G27" s="32"/>
      <c r="H27" s="32" t="s">
        <v>54</v>
      </c>
      <c r="I27" s="32" t="s">
        <v>56</v>
      </c>
      <c r="J27" s="32" t="s">
        <v>57</v>
      </c>
    </row>
    <row r="28">
      <c r="C28" s="1" t="s">
        <v>59</v>
      </c>
      <c r="D28" s="11" t="s">
        <v>433</v>
      </c>
      <c r="E28" s="1">
        <v>3.0</v>
      </c>
      <c r="F28" s="38">
        <v>11.0</v>
      </c>
      <c r="H28" s="17" t="str">
        <f>D28*E28/100</f>
        <v>#VALUE!</v>
      </c>
      <c r="I28" s="17" t="str">
        <f>H28*F28</f>
        <v>#VALUE!</v>
      </c>
      <c r="J28" s="17" t="str">
        <f>D28+I28</f>
        <v>#VALUE!</v>
      </c>
    </row>
    <row r="29">
      <c r="C29" s="1" t="s">
        <v>434</v>
      </c>
      <c r="D29" s="11"/>
      <c r="F29" s="38"/>
    </row>
    <row r="30">
      <c r="C30" s="1" t="s">
        <v>113</v>
      </c>
      <c r="D30" s="11"/>
      <c r="F30" s="38"/>
    </row>
    <row r="31">
      <c r="D31" s="14"/>
      <c r="F31" s="40"/>
    </row>
    <row r="32">
      <c r="D32" s="14"/>
      <c r="F32" s="40"/>
      <c r="J32" s="20" t="str">
        <f>SUM(J28:J30)</f>
        <v>#VALUE!</v>
      </c>
    </row>
    <row r="33">
      <c r="D33" s="14"/>
      <c r="F33" s="40"/>
    </row>
    <row r="34">
      <c r="H34" s="39" t="s">
        <v>62</v>
      </c>
      <c r="J34" s="131">
        <f>F19</f>
        <v>85000</v>
      </c>
    </row>
    <row r="36">
      <c r="H36" s="39" t="s">
        <v>72</v>
      </c>
      <c r="J36" s="42" t="str">
        <f>J32-J34</f>
        <v>#VALUE!</v>
      </c>
      <c r="L36" s="47" t="s">
        <v>69</v>
      </c>
    </row>
    <row r="37">
      <c r="L37" s="12" t="str">
        <f>J36/3</f>
        <v>#VALUE!</v>
      </c>
      <c r="M37" s="15" t="s">
        <v>79</v>
      </c>
    </row>
    <row r="38">
      <c r="D38" s="14"/>
      <c r="L38" s="12" t="str">
        <f t="shared" ref="L38:L39" si="2">L37</f>
        <v>#VALUE!</v>
      </c>
      <c r="M38" s="15" t="s">
        <v>82</v>
      </c>
    </row>
    <row r="39">
      <c r="D39" s="14"/>
      <c r="L39" s="12" t="str">
        <f t="shared" si="2"/>
        <v>#VALUE!</v>
      </c>
      <c r="M39" s="15" t="s">
        <v>84</v>
      </c>
    </row>
    <row r="40">
      <c r="D40" s="14"/>
    </row>
    <row r="41">
      <c r="D41" s="14"/>
    </row>
    <row r="42">
      <c r="D42" s="13"/>
      <c r="F42" s="57"/>
    </row>
    <row r="43">
      <c r="D43" s="13"/>
      <c r="F43" s="57"/>
    </row>
    <row r="44">
      <c r="D44" s="13"/>
      <c r="F44" s="57"/>
    </row>
    <row r="45">
      <c r="D45" s="13"/>
      <c r="F45" s="57"/>
    </row>
    <row r="46">
      <c r="D46" s="13"/>
      <c r="F46" s="57"/>
    </row>
    <row r="47">
      <c r="D47" s="13"/>
      <c r="F47" s="57"/>
    </row>
    <row r="48">
      <c r="D48" s="13"/>
      <c r="F48" s="57"/>
    </row>
    <row r="49">
      <c r="D49" s="13"/>
      <c r="F49" s="57"/>
    </row>
    <row r="50">
      <c r="D50" s="13"/>
      <c r="F50" s="57"/>
    </row>
    <row r="51">
      <c r="D51" s="13"/>
      <c r="F51" s="57"/>
    </row>
    <row r="52">
      <c r="D52" s="13"/>
      <c r="F52" s="57"/>
    </row>
    <row r="53">
      <c r="D53" s="13"/>
      <c r="F53" s="57"/>
    </row>
    <row r="54">
      <c r="D54" s="13"/>
      <c r="F54" s="57"/>
    </row>
    <row r="55">
      <c r="D55" s="13"/>
      <c r="F55" s="57"/>
    </row>
    <row r="56">
      <c r="D56" s="13"/>
      <c r="F56" s="57"/>
    </row>
    <row r="57">
      <c r="D57" s="13"/>
      <c r="F57" s="57"/>
    </row>
    <row r="58">
      <c r="D58" s="13"/>
      <c r="F58" s="57"/>
    </row>
    <row r="59">
      <c r="D59" s="13"/>
      <c r="F59" s="57"/>
    </row>
    <row r="60">
      <c r="D60" s="13"/>
      <c r="F60" s="57"/>
    </row>
    <row r="61">
      <c r="D61" s="13"/>
      <c r="F61" s="57"/>
    </row>
    <row r="62">
      <c r="D62" s="13"/>
      <c r="F62" s="57"/>
    </row>
    <row r="63">
      <c r="D63" s="13"/>
      <c r="F63" s="57"/>
    </row>
    <row r="64">
      <c r="D64" s="13"/>
      <c r="F64" s="57"/>
    </row>
    <row r="65">
      <c r="D65" s="13"/>
      <c r="F65" s="57"/>
    </row>
    <row r="66">
      <c r="D66" s="13"/>
      <c r="F66" s="57"/>
    </row>
    <row r="67">
      <c r="D67" s="13"/>
      <c r="F67" s="57"/>
    </row>
    <row r="68">
      <c r="D68" s="13"/>
      <c r="F68" s="57"/>
    </row>
    <row r="69">
      <c r="D69" s="13"/>
      <c r="F69" s="57"/>
    </row>
    <row r="70">
      <c r="D70" s="13"/>
      <c r="F70" s="57"/>
    </row>
    <row r="71">
      <c r="D71" s="13"/>
      <c r="F71" s="57"/>
    </row>
    <row r="72">
      <c r="D72" s="13"/>
      <c r="F72" s="57"/>
    </row>
    <row r="73">
      <c r="D73" s="13"/>
      <c r="F73" s="57"/>
    </row>
    <row r="74">
      <c r="D74" s="13"/>
      <c r="F74" s="57"/>
    </row>
    <row r="75">
      <c r="D75" s="13"/>
      <c r="F75" s="57"/>
    </row>
    <row r="76">
      <c r="D76" s="13"/>
      <c r="F76" s="57"/>
    </row>
    <row r="77">
      <c r="D77" s="13"/>
      <c r="F77" s="57"/>
    </row>
    <row r="78">
      <c r="D78" s="13"/>
      <c r="F78" s="57"/>
    </row>
    <row r="79">
      <c r="D79" s="13"/>
      <c r="F79" s="57"/>
    </row>
    <row r="80">
      <c r="D80" s="13"/>
      <c r="F80" s="57"/>
    </row>
    <row r="81">
      <c r="D81" s="13"/>
      <c r="F81" s="57"/>
    </row>
    <row r="82">
      <c r="D82" s="13"/>
      <c r="F82" s="57"/>
    </row>
    <row r="83">
      <c r="D83" s="13"/>
      <c r="F83" s="57"/>
    </row>
    <row r="84">
      <c r="D84" s="13"/>
      <c r="F84" s="57"/>
    </row>
    <row r="85">
      <c r="D85" s="13"/>
      <c r="F85" s="57"/>
    </row>
    <row r="86">
      <c r="D86" s="13"/>
      <c r="F86" s="57"/>
    </row>
    <row r="87">
      <c r="D87" s="13"/>
      <c r="F87" s="57"/>
    </row>
    <row r="88">
      <c r="D88" s="13"/>
      <c r="F88" s="57"/>
    </row>
    <row r="89">
      <c r="D89" s="13"/>
      <c r="F89" s="57"/>
    </row>
    <row r="90">
      <c r="D90" s="13"/>
      <c r="F90" s="57"/>
    </row>
    <row r="91">
      <c r="D91" s="13"/>
      <c r="F91" s="57"/>
    </row>
    <row r="92">
      <c r="D92" s="13"/>
      <c r="F92" s="57"/>
    </row>
    <row r="93">
      <c r="D93" s="13"/>
      <c r="F93" s="57"/>
    </row>
    <row r="94">
      <c r="D94" s="13"/>
      <c r="F94" s="57"/>
    </row>
    <row r="95">
      <c r="D95" s="13"/>
      <c r="F95" s="57"/>
    </row>
    <row r="96">
      <c r="D96" s="13"/>
      <c r="F96" s="57"/>
    </row>
    <row r="97">
      <c r="D97" s="13"/>
      <c r="F97" s="57"/>
    </row>
    <row r="98">
      <c r="D98" s="13"/>
      <c r="F98" s="57"/>
    </row>
    <row r="99">
      <c r="D99" s="13"/>
      <c r="F99" s="57"/>
    </row>
    <row r="100">
      <c r="D100" s="13"/>
      <c r="F100" s="57"/>
    </row>
    <row r="101">
      <c r="D101" s="13"/>
      <c r="F101" s="57"/>
    </row>
    <row r="102">
      <c r="D102" s="13"/>
      <c r="F102" s="57"/>
    </row>
    <row r="103">
      <c r="D103" s="13"/>
      <c r="F103" s="57"/>
    </row>
    <row r="104">
      <c r="D104" s="13"/>
      <c r="F104" s="57"/>
    </row>
    <row r="105">
      <c r="D105" s="13"/>
      <c r="F105" s="57"/>
    </row>
    <row r="106">
      <c r="D106" s="13"/>
      <c r="F106" s="57"/>
    </row>
    <row r="107">
      <c r="D107" s="13"/>
      <c r="F107" s="57"/>
    </row>
    <row r="108">
      <c r="D108" s="13"/>
      <c r="F108" s="57"/>
    </row>
    <row r="109">
      <c r="D109" s="13"/>
      <c r="F109" s="57"/>
    </row>
    <row r="110">
      <c r="D110" s="13"/>
      <c r="F110" s="57"/>
    </row>
    <row r="111">
      <c r="D111" s="13"/>
      <c r="F111" s="57"/>
    </row>
    <row r="112">
      <c r="D112" s="13"/>
      <c r="F112" s="57"/>
    </row>
    <row r="113">
      <c r="D113" s="13"/>
      <c r="F113" s="57"/>
    </row>
    <row r="114">
      <c r="D114" s="13"/>
      <c r="F114" s="57"/>
    </row>
    <row r="115">
      <c r="D115" s="13"/>
      <c r="F115" s="57"/>
    </row>
    <row r="116">
      <c r="D116" s="13"/>
      <c r="F116" s="57"/>
    </row>
    <row r="117">
      <c r="D117" s="13"/>
      <c r="F117" s="57"/>
    </row>
    <row r="118">
      <c r="D118" s="13"/>
      <c r="F118" s="57"/>
    </row>
    <row r="119">
      <c r="D119" s="13"/>
      <c r="F119" s="57"/>
    </row>
    <row r="120">
      <c r="D120" s="13"/>
      <c r="F120" s="57"/>
    </row>
    <row r="121">
      <c r="D121" s="13"/>
      <c r="F121" s="57"/>
    </row>
    <row r="122">
      <c r="D122" s="13"/>
      <c r="F122" s="57"/>
    </row>
    <row r="123">
      <c r="D123" s="13"/>
      <c r="F123" s="57"/>
    </row>
    <row r="124">
      <c r="D124" s="13"/>
      <c r="F124" s="57"/>
    </row>
    <row r="125">
      <c r="D125" s="13"/>
      <c r="F125" s="57"/>
    </row>
    <row r="126">
      <c r="D126" s="13"/>
      <c r="F126" s="57"/>
    </row>
    <row r="127">
      <c r="D127" s="13"/>
      <c r="F127" s="57"/>
    </row>
    <row r="128">
      <c r="D128" s="13"/>
      <c r="F128" s="57"/>
    </row>
    <row r="129">
      <c r="D129" s="13"/>
      <c r="F129" s="57"/>
    </row>
    <row r="130">
      <c r="D130" s="13"/>
      <c r="F130" s="57"/>
    </row>
    <row r="131">
      <c r="D131" s="13"/>
      <c r="F131" s="57"/>
    </row>
    <row r="132">
      <c r="D132" s="13"/>
      <c r="F132" s="57"/>
    </row>
    <row r="133">
      <c r="D133" s="13"/>
      <c r="F133" s="57"/>
    </row>
    <row r="134">
      <c r="D134" s="13"/>
      <c r="F134" s="57"/>
    </row>
    <row r="135">
      <c r="D135" s="13"/>
      <c r="F135" s="57"/>
    </row>
    <row r="136">
      <c r="D136" s="13"/>
      <c r="F136" s="57"/>
    </row>
    <row r="137">
      <c r="D137" s="13"/>
      <c r="F137" s="57"/>
    </row>
    <row r="138">
      <c r="D138" s="13"/>
      <c r="F138" s="57"/>
    </row>
    <row r="139">
      <c r="D139" s="13"/>
      <c r="F139" s="57"/>
    </row>
    <row r="140">
      <c r="D140" s="13"/>
      <c r="F140" s="57"/>
    </row>
    <row r="141">
      <c r="D141" s="13"/>
      <c r="F141" s="57"/>
    </row>
    <row r="142">
      <c r="D142" s="13"/>
      <c r="F142" s="57"/>
    </row>
    <row r="143">
      <c r="D143" s="13"/>
      <c r="F143" s="57"/>
    </row>
    <row r="144">
      <c r="D144" s="13"/>
      <c r="F144" s="57"/>
    </row>
    <row r="145">
      <c r="D145" s="13"/>
      <c r="F145" s="57"/>
    </row>
    <row r="146">
      <c r="D146" s="13"/>
      <c r="F146" s="57"/>
    </row>
    <row r="147">
      <c r="D147" s="13"/>
      <c r="F147" s="57"/>
    </row>
    <row r="148">
      <c r="D148" s="13"/>
      <c r="F148" s="57"/>
    </row>
    <row r="149">
      <c r="D149" s="13"/>
      <c r="F149" s="57"/>
    </row>
    <row r="150">
      <c r="D150" s="13"/>
      <c r="F150" s="57"/>
    </row>
    <row r="151">
      <c r="D151" s="13"/>
      <c r="F151" s="57"/>
    </row>
    <row r="152">
      <c r="D152" s="13"/>
      <c r="F152" s="57"/>
    </row>
    <row r="153">
      <c r="D153" s="13"/>
      <c r="F153" s="57"/>
    </row>
    <row r="154">
      <c r="D154" s="13"/>
      <c r="F154" s="57"/>
    </row>
    <row r="155">
      <c r="D155" s="13"/>
      <c r="F155" s="57"/>
    </row>
    <row r="156">
      <c r="D156" s="13"/>
      <c r="F156" s="57"/>
    </row>
    <row r="157">
      <c r="D157" s="13"/>
      <c r="F157" s="57"/>
    </row>
    <row r="158">
      <c r="D158" s="13"/>
      <c r="F158" s="57"/>
    </row>
    <row r="159">
      <c r="D159" s="13"/>
      <c r="F159" s="57"/>
    </row>
    <row r="160">
      <c r="D160" s="13"/>
      <c r="F160" s="57"/>
    </row>
    <row r="161">
      <c r="D161" s="13"/>
      <c r="F161" s="57"/>
    </row>
    <row r="162">
      <c r="D162" s="13"/>
      <c r="F162" s="57"/>
    </row>
    <row r="163">
      <c r="D163" s="13"/>
      <c r="F163" s="57"/>
    </row>
    <row r="164">
      <c r="D164" s="13"/>
      <c r="F164" s="57"/>
    </row>
    <row r="165">
      <c r="D165" s="13"/>
      <c r="F165" s="57"/>
    </row>
    <row r="166">
      <c r="D166" s="13"/>
      <c r="F166" s="57"/>
    </row>
    <row r="167">
      <c r="D167" s="13"/>
      <c r="F167" s="57"/>
    </row>
    <row r="168">
      <c r="D168" s="13"/>
      <c r="F168" s="57"/>
    </row>
    <row r="169">
      <c r="D169" s="13"/>
      <c r="F169" s="57"/>
    </row>
    <row r="170">
      <c r="D170" s="13"/>
      <c r="F170" s="57"/>
    </row>
    <row r="171">
      <c r="D171" s="13"/>
      <c r="F171" s="57"/>
    </row>
    <row r="172">
      <c r="D172" s="13"/>
      <c r="F172" s="57"/>
    </row>
    <row r="173">
      <c r="D173" s="13"/>
      <c r="F173" s="57"/>
    </row>
    <row r="174">
      <c r="D174" s="13"/>
      <c r="F174" s="57"/>
    </row>
    <row r="175">
      <c r="D175" s="13"/>
      <c r="F175" s="57"/>
    </row>
    <row r="176">
      <c r="D176" s="13"/>
      <c r="F176" s="57"/>
    </row>
    <row r="177">
      <c r="D177" s="13"/>
      <c r="F177" s="57"/>
    </row>
    <row r="178">
      <c r="D178" s="13"/>
      <c r="F178" s="57"/>
    </row>
    <row r="179">
      <c r="D179" s="13"/>
      <c r="F179" s="57"/>
    </row>
    <row r="180">
      <c r="D180" s="13"/>
      <c r="F180" s="57"/>
    </row>
    <row r="181">
      <c r="D181" s="13"/>
      <c r="F181" s="57"/>
    </row>
    <row r="182">
      <c r="D182" s="13"/>
      <c r="F182" s="57"/>
    </row>
    <row r="183">
      <c r="D183" s="13"/>
      <c r="F183" s="57"/>
    </row>
    <row r="184">
      <c r="D184" s="13"/>
      <c r="F184" s="57"/>
    </row>
    <row r="185">
      <c r="D185" s="13"/>
      <c r="F185" s="57"/>
    </row>
    <row r="186">
      <c r="D186" s="13"/>
      <c r="F186" s="57"/>
    </row>
    <row r="187">
      <c r="D187" s="13"/>
      <c r="F187" s="57"/>
    </row>
    <row r="188">
      <c r="D188" s="13"/>
      <c r="F188" s="57"/>
    </row>
    <row r="189">
      <c r="D189" s="13"/>
      <c r="F189" s="57"/>
    </row>
    <row r="190">
      <c r="D190" s="13"/>
      <c r="F190" s="57"/>
    </row>
    <row r="191">
      <c r="D191" s="13"/>
      <c r="F191" s="57"/>
    </row>
    <row r="192">
      <c r="D192" s="13"/>
      <c r="F192" s="57"/>
    </row>
    <row r="193">
      <c r="D193" s="13"/>
      <c r="F193" s="57"/>
    </row>
    <row r="194">
      <c r="D194" s="13"/>
      <c r="F194" s="57"/>
    </row>
    <row r="195">
      <c r="D195" s="13"/>
      <c r="F195" s="57"/>
    </row>
    <row r="196">
      <c r="D196" s="13"/>
      <c r="F196" s="57"/>
    </row>
    <row r="197">
      <c r="D197" s="13"/>
      <c r="F197" s="57"/>
    </row>
    <row r="198">
      <c r="D198" s="13"/>
      <c r="F198" s="57"/>
    </row>
    <row r="199">
      <c r="D199" s="13"/>
      <c r="F199" s="57"/>
    </row>
    <row r="200">
      <c r="D200" s="13"/>
      <c r="F200" s="57"/>
    </row>
    <row r="201">
      <c r="D201" s="13"/>
      <c r="F201" s="57"/>
    </row>
    <row r="202">
      <c r="D202" s="13"/>
      <c r="F202" s="57"/>
    </row>
    <row r="203">
      <c r="D203" s="13"/>
      <c r="F203" s="57"/>
    </row>
    <row r="204">
      <c r="D204" s="13"/>
      <c r="F204" s="57"/>
    </row>
    <row r="205">
      <c r="D205" s="13"/>
      <c r="F205" s="57"/>
    </row>
    <row r="206">
      <c r="D206" s="13"/>
      <c r="F206" s="57"/>
    </row>
    <row r="207">
      <c r="D207" s="13"/>
      <c r="F207" s="57"/>
    </row>
    <row r="208">
      <c r="D208" s="13"/>
      <c r="F208" s="57"/>
    </row>
    <row r="209">
      <c r="D209" s="13"/>
      <c r="F209" s="57"/>
    </row>
    <row r="210">
      <c r="D210" s="13"/>
      <c r="F210" s="57"/>
    </row>
    <row r="211">
      <c r="D211" s="13"/>
      <c r="F211" s="57"/>
    </row>
    <row r="212">
      <c r="D212" s="13"/>
      <c r="F212" s="57"/>
    </row>
    <row r="213">
      <c r="D213" s="13"/>
      <c r="F213" s="57"/>
    </row>
    <row r="214">
      <c r="D214" s="13"/>
      <c r="F214" s="57"/>
    </row>
    <row r="215">
      <c r="D215" s="13"/>
      <c r="F215" s="57"/>
    </row>
    <row r="216">
      <c r="D216" s="13"/>
      <c r="F216" s="57"/>
    </row>
    <row r="217">
      <c r="D217" s="13"/>
      <c r="F217" s="57"/>
    </row>
    <row r="218">
      <c r="D218" s="13"/>
      <c r="F218" s="57"/>
    </row>
    <row r="219">
      <c r="D219" s="13"/>
      <c r="F219" s="57"/>
    </row>
    <row r="220">
      <c r="D220" s="13"/>
      <c r="F220" s="57"/>
    </row>
    <row r="221">
      <c r="D221" s="13"/>
      <c r="F221" s="57"/>
    </row>
    <row r="222">
      <c r="D222" s="13"/>
      <c r="F222" s="57"/>
    </row>
    <row r="223">
      <c r="D223" s="13"/>
      <c r="F223" s="57"/>
    </row>
    <row r="224">
      <c r="D224" s="13"/>
      <c r="F224" s="57"/>
    </row>
    <row r="225">
      <c r="D225" s="13"/>
      <c r="F225" s="57"/>
    </row>
    <row r="226">
      <c r="D226" s="13"/>
      <c r="F226" s="57"/>
    </row>
    <row r="227">
      <c r="D227" s="13"/>
      <c r="F227" s="57"/>
    </row>
    <row r="228">
      <c r="D228" s="13"/>
      <c r="F228" s="57"/>
    </row>
    <row r="229">
      <c r="D229" s="13"/>
      <c r="F229" s="57"/>
    </row>
    <row r="230">
      <c r="D230" s="13"/>
      <c r="F230" s="57"/>
    </row>
    <row r="231">
      <c r="D231" s="13"/>
      <c r="F231" s="57"/>
    </row>
    <row r="232">
      <c r="D232" s="13"/>
      <c r="F232" s="57"/>
    </row>
    <row r="233">
      <c r="D233" s="13"/>
      <c r="F233" s="57"/>
    </row>
    <row r="234">
      <c r="D234" s="13"/>
      <c r="F234" s="57"/>
    </row>
    <row r="235">
      <c r="D235" s="13"/>
      <c r="F235" s="57"/>
    </row>
    <row r="236">
      <c r="D236" s="13"/>
      <c r="F236" s="57"/>
    </row>
    <row r="237">
      <c r="D237" s="13"/>
      <c r="F237" s="57"/>
    </row>
    <row r="238">
      <c r="D238" s="13"/>
      <c r="F238" s="57"/>
    </row>
    <row r="239">
      <c r="D239" s="13"/>
      <c r="F239" s="57"/>
    </row>
    <row r="240">
      <c r="D240" s="13"/>
      <c r="F240" s="57"/>
    </row>
    <row r="241">
      <c r="D241" s="13"/>
      <c r="F241" s="57"/>
    </row>
    <row r="242">
      <c r="D242" s="13"/>
      <c r="F242" s="57"/>
    </row>
    <row r="243">
      <c r="D243" s="13"/>
      <c r="F243" s="57"/>
    </row>
    <row r="244">
      <c r="D244" s="13"/>
      <c r="F244" s="57"/>
    </row>
    <row r="245">
      <c r="D245" s="13"/>
      <c r="F245" s="57"/>
    </row>
    <row r="246">
      <c r="D246" s="13"/>
      <c r="F246" s="57"/>
    </row>
    <row r="247">
      <c r="D247" s="13"/>
      <c r="F247" s="57"/>
    </row>
    <row r="248">
      <c r="D248" s="13"/>
      <c r="F248" s="57"/>
    </row>
    <row r="249">
      <c r="D249" s="13"/>
      <c r="F249" s="57"/>
    </row>
    <row r="250">
      <c r="D250" s="13"/>
      <c r="F250" s="57"/>
    </row>
    <row r="251">
      <c r="D251" s="13"/>
      <c r="F251" s="57"/>
    </row>
    <row r="252">
      <c r="D252" s="13"/>
      <c r="F252" s="57"/>
    </row>
    <row r="253">
      <c r="D253" s="13"/>
      <c r="F253" s="57"/>
    </row>
    <row r="254">
      <c r="D254" s="13"/>
      <c r="F254" s="57"/>
    </row>
    <row r="255">
      <c r="D255" s="13"/>
      <c r="F255" s="57"/>
    </row>
    <row r="256">
      <c r="D256" s="13"/>
      <c r="F256" s="57"/>
    </row>
    <row r="257">
      <c r="D257" s="13"/>
      <c r="F257" s="57"/>
    </row>
    <row r="258">
      <c r="D258" s="13"/>
      <c r="F258" s="57"/>
    </row>
    <row r="259">
      <c r="D259" s="13"/>
      <c r="F259" s="57"/>
    </row>
    <row r="260">
      <c r="D260" s="13"/>
      <c r="F260" s="57"/>
    </row>
    <row r="261">
      <c r="D261" s="13"/>
      <c r="F261" s="57"/>
    </row>
    <row r="262">
      <c r="D262" s="13"/>
      <c r="F262" s="57"/>
    </row>
    <row r="263">
      <c r="D263" s="13"/>
      <c r="F263" s="57"/>
    </row>
    <row r="264">
      <c r="D264" s="13"/>
      <c r="F264" s="57"/>
    </row>
    <row r="265">
      <c r="D265" s="13"/>
      <c r="F265" s="57"/>
    </row>
    <row r="266">
      <c r="D266" s="13"/>
      <c r="F266" s="57"/>
    </row>
    <row r="267">
      <c r="D267" s="13"/>
      <c r="F267" s="57"/>
    </row>
    <row r="268">
      <c r="D268" s="13"/>
      <c r="F268" s="57"/>
    </row>
    <row r="269">
      <c r="D269" s="13"/>
      <c r="F269" s="57"/>
    </row>
    <row r="270">
      <c r="D270" s="13"/>
      <c r="F270" s="57"/>
    </row>
    <row r="271">
      <c r="D271" s="13"/>
      <c r="F271" s="57"/>
    </row>
    <row r="272">
      <c r="D272" s="13"/>
      <c r="F272" s="57"/>
    </row>
    <row r="273">
      <c r="D273" s="13"/>
      <c r="F273" s="57"/>
    </row>
    <row r="274">
      <c r="D274" s="13"/>
      <c r="F274" s="57"/>
    </row>
    <row r="275">
      <c r="D275" s="13"/>
      <c r="F275" s="57"/>
    </row>
    <row r="276">
      <c r="D276" s="13"/>
      <c r="F276" s="57"/>
    </row>
    <row r="277">
      <c r="D277" s="13"/>
      <c r="F277" s="57"/>
    </row>
    <row r="278">
      <c r="D278" s="13"/>
      <c r="F278" s="57"/>
    </row>
    <row r="279">
      <c r="D279" s="13"/>
      <c r="F279" s="57"/>
    </row>
    <row r="280">
      <c r="D280" s="13"/>
      <c r="F280" s="57"/>
    </row>
    <row r="281">
      <c r="D281" s="13"/>
      <c r="F281" s="57"/>
    </row>
    <row r="282">
      <c r="D282" s="13"/>
      <c r="F282" s="57"/>
    </row>
    <row r="283">
      <c r="D283" s="13"/>
      <c r="F283" s="57"/>
    </row>
    <row r="284">
      <c r="D284" s="13"/>
      <c r="F284" s="57"/>
    </row>
    <row r="285">
      <c r="D285" s="13"/>
      <c r="F285" s="57"/>
    </row>
    <row r="286">
      <c r="D286" s="13"/>
      <c r="F286" s="57"/>
    </row>
    <row r="287">
      <c r="D287" s="13"/>
      <c r="F287" s="57"/>
    </row>
    <row r="288">
      <c r="D288" s="13"/>
      <c r="F288" s="57"/>
    </row>
    <row r="289">
      <c r="D289" s="13"/>
      <c r="F289" s="57"/>
    </row>
    <row r="290">
      <c r="D290" s="13"/>
      <c r="F290" s="57"/>
    </row>
    <row r="291">
      <c r="D291" s="13"/>
      <c r="F291" s="57"/>
    </row>
    <row r="292">
      <c r="D292" s="13"/>
      <c r="F292" s="57"/>
    </row>
    <row r="293">
      <c r="D293" s="13"/>
      <c r="F293" s="57"/>
    </row>
    <row r="294">
      <c r="D294" s="13"/>
      <c r="F294" s="57"/>
    </row>
    <row r="295">
      <c r="D295" s="13"/>
      <c r="F295" s="57"/>
    </row>
    <row r="296">
      <c r="D296" s="13"/>
      <c r="F296" s="57"/>
    </row>
    <row r="297">
      <c r="D297" s="13"/>
      <c r="F297" s="57"/>
    </row>
    <row r="298">
      <c r="D298" s="13"/>
      <c r="F298" s="57"/>
    </row>
    <row r="299">
      <c r="D299" s="13"/>
      <c r="F299" s="57"/>
    </row>
    <row r="300">
      <c r="D300" s="13"/>
      <c r="F300" s="57"/>
    </row>
    <row r="301">
      <c r="D301" s="13"/>
      <c r="F301" s="57"/>
    </row>
    <row r="302">
      <c r="D302" s="13"/>
      <c r="F302" s="57"/>
    </row>
    <row r="303">
      <c r="D303" s="13"/>
      <c r="F303" s="57"/>
    </row>
    <row r="304">
      <c r="D304" s="13"/>
      <c r="F304" s="57"/>
    </row>
    <row r="305">
      <c r="D305" s="13"/>
      <c r="F305" s="57"/>
    </row>
    <row r="306">
      <c r="D306" s="13"/>
      <c r="F306" s="57"/>
    </row>
    <row r="307">
      <c r="D307" s="13"/>
      <c r="F307" s="57"/>
    </row>
    <row r="308">
      <c r="D308" s="13"/>
      <c r="F308" s="57"/>
    </row>
    <row r="309">
      <c r="D309" s="13"/>
      <c r="F309" s="57"/>
    </row>
    <row r="310">
      <c r="D310" s="13"/>
      <c r="F310" s="57"/>
    </row>
    <row r="311">
      <c r="D311" s="13"/>
      <c r="F311" s="57"/>
    </row>
    <row r="312">
      <c r="D312" s="13"/>
      <c r="F312" s="57"/>
    </row>
    <row r="313">
      <c r="D313" s="13"/>
      <c r="F313" s="57"/>
    </row>
    <row r="314">
      <c r="D314" s="13"/>
      <c r="F314" s="57"/>
    </row>
    <row r="315">
      <c r="D315" s="13"/>
      <c r="F315" s="57"/>
    </row>
    <row r="316">
      <c r="D316" s="13"/>
      <c r="F316" s="57"/>
    </row>
    <row r="317">
      <c r="D317" s="13"/>
      <c r="F317" s="57"/>
    </row>
    <row r="318">
      <c r="D318" s="13"/>
      <c r="F318" s="57"/>
    </row>
    <row r="319">
      <c r="D319" s="13"/>
      <c r="F319" s="57"/>
    </row>
    <row r="320">
      <c r="D320" s="13"/>
      <c r="F320" s="57"/>
    </row>
    <row r="321">
      <c r="D321" s="13"/>
      <c r="F321" s="57"/>
    </row>
    <row r="322">
      <c r="D322" s="13"/>
      <c r="F322" s="57"/>
    </row>
    <row r="323">
      <c r="D323" s="13"/>
      <c r="F323" s="57"/>
    </row>
    <row r="324">
      <c r="D324" s="13"/>
      <c r="F324" s="57"/>
    </row>
    <row r="325">
      <c r="D325" s="13"/>
      <c r="F325" s="57"/>
    </row>
    <row r="326">
      <c r="D326" s="13"/>
      <c r="F326" s="57"/>
    </row>
    <row r="327">
      <c r="D327" s="13"/>
      <c r="F327" s="57"/>
    </row>
    <row r="328">
      <c r="D328" s="13"/>
      <c r="F328" s="57"/>
    </row>
    <row r="329">
      <c r="D329" s="13"/>
      <c r="F329" s="57"/>
    </row>
    <row r="330">
      <c r="D330" s="13"/>
      <c r="F330" s="57"/>
    </row>
    <row r="331">
      <c r="D331" s="13"/>
      <c r="F331" s="57"/>
    </row>
    <row r="332">
      <c r="D332" s="13"/>
      <c r="F332" s="57"/>
    </row>
    <row r="333">
      <c r="D333" s="13"/>
      <c r="F333" s="57"/>
    </row>
    <row r="334">
      <c r="D334" s="13"/>
      <c r="F334" s="57"/>
    </row>
    <row r="335">
      <c r="D335" s="13"/>
      <c r="F335" s="57"/>
    </row>
    <row r="336">
      <c r="D336" s="13"/>
      <c r="F336" s="57"/>
    </row>
    <row r="337">
      <c r="D337" s="13"/>
      <c r="F337" s="57"/>
    </row>
    <row r="338">
      <c r="D338" s="13"/>
      <c r="F338" s="57"/>
    </row>
    <row r="339">
      <c r="D339" s="13"/>
      <c r="F339" s="57"/>
    </row>
    <row r="340">
      <c r="D340" s="13"/>
      <c r="F340" s="57"/>
    </row>
    <row r="341">
      <c r="D341" s="13"/>
      <c r="F341" s="57"/>
    </row>
    <row r="342">
      <c r="D342" s="13"/>
      <c r="F342" s="57"/>
    </row>
    <row r="343">
      <c r="D343" s="13"/>
      <c r="F343" s="57"/>
    </row>
    <row r="344">
      <c r="D344" s="13"/>
      <c r="F344" s="57"/>
    </row>
    <row r="345">
      <c r="D345" s="13"/>
      <c r="F345" s="57"/>
    </row>
    <row r="346">
      <c r="D346" s="13"/>
      <c r="F346" s="57"/>
    </row>
    <row r="347">
      <c r="D347" s="13"/>
      <c r="F347" s="57"/>
    </row>
    <row r="348">
      <c r="D348" s="13"/>
      <c r="F348" s="57"/>
    </row>
    <row r="349">
      <c r="D349" s="13"/>
      <c r="F349" s="57"/>
    </row>
    <row r="350">
      <c r="D350" s="13"/>
      <c r="F350" s="57"/>
    </row>
    <row r="351">
      <c r="D351" s="13"/>
      <c r="F351" s="57"/>
    </row>
    <row r="352">
      <c r="D352" s="13"/>
      <c r="F352" s="57"/>
    </row>
    <row r="353">
      <c r="D353" s="13"/>
      <c r="F353" s="57"/>
    </row>
    <row r="354">
      <c r="D354" s="13"/>
      <c r="F354" s="57"/>
    </row>
    <row r="355">
      <c r="D355" s="13"/>
      <c r="F355" s="57"/>
    </row>
    <row r="356">
      <c r="D356" s="13"/>
      <c r="F356" s="57"/>
    </row>
    <row r="357">
      <c r="D357" s="13"/>
      <c r="F357" s="57"/>
    </row>
    <row r="358">
      <c r="D358" s="13"/>
      <c r="F358" s="57"/>
    </row>
    <row r="359">
      <c r="D359" s="13"/>
      <c r="F359" s="57"/>
    </row>
    <row r="360">
      <c r="D360" s="13"/>
      <c r="F360" s="57"/>
    </row>
    <row r="361">
      <c r="D361" s="13"/>
      <c r="F361" s="57"/>
    </row>
    <row r="362">
      <c r="D362" s="13"/>
      <c r="F362" s="57"/>
    </row>
    <row r="363">
      <c r="D363" s="13"/>
      <c r="F363" s="57"/>
    </row>
    <row r="364">
      <c r="D364" s="13"/>
      <c r="F364" s="57"/>
    </row>
    <row r="365">
      <c r="D365" s="13"/>
      <c r="F365" s="57"/>
    </row>
    <row r="366">
      <c r="D366" s="13"/>
      <c r="F366" s="57"/>
    </row>
    <row r="367">
      <c r="D367" s="13"/>
      <c r="F367" s="57"/>
    </row>
    <row r="368">
      <c r="D368" s="13"/>
      <c r="F368" s="57"/>
    </row>
    <row r="369">
      <c r="D369" s="13"/>
      <c r="F369" s="57"/>
    </row>
    <row r="370">
      <c r="D370" s="13"/>
      <c r="F370" s="57"/>
    </row>
    <row r="371">
      <c r="D371" s="13"/>
      <c r="F371" s="57"/>
    </row>
    <row r="372">
      <c r="D372" s="13"/>
      <c r="F372" s="57"/>
    </row>
    <row r="373">
      <c r="D373" s="13"/>
      <c r="F373" s="57"/>
    </row>
    <row r="374">
      <c r="D374" s="13"/>
      <c r="F374" s="57"/>
    </row>
    <row r="375">
      <c r="D375" s="13"/>
      <c r="F375" s="57"/>
    </row>
    <row r="376">
      <c r="D376" s="13"/>
      <c r="F376" s="57"/>
    </row>
    <row r="377">
      <c r="D377" s="13"/>
      <c r="F377" s="57"/>
    </row>
    <row r="378">
      <c r="D378" s="13"/>
      <c r="F378" s="57"/>
    </row>
    <row r="379">
      <c r="D379" s="13"/>
      <c r="F379" s="57"/>
    </row>
    <row r="380">
      <c r="D380" s="13"/>
      <c r="F380" s="57"/>
    </row>
    <row r="381">
      <c r="D381" s="13"/>
      <c r="F381" s="57"/>
    </row>
    <row r="382">
      <c r="D382" s="13"/>
      <c r="F382" s="57"/>
    </row>
    <row r="383">
      <c r="D383" s="13"/>
      <c r="F383" s="57"/>
    </row>
    <row r="384">
      <c r="D384" s="13"/>
      <c r="F384" s="57"/>
    </row>
    <row r="385">
      <c r="D385" s="13"/>
      <c r="F385" s="57"/>
    </row>
    <row r="386">
      <c r="D386" s="13"/>
      <c r="F386" s="57"/>
    </row>
    <row r="387">
      <c r="D387" s="13"/>
      <c r="F387" s="57"/>
    </row>
    <row r="388">
      <c r="D388" s="13"/>
      <c r="F388" s="57"/>
    </row>
    <row r="389">
      <c r="D389" s="13"/>
      <c r="F389" s="57"/>
    </row>
    <row r="390">
      <c r="D390" s="13"/>
      <c r="F390" s="57"/>
    </row>
    <row r="391">
      <c r="D391" s="13"/>
      <c r="F391" s="57"/>
    </row>
    <row r="392">
      <c r="D392" s="13"/>
      <c r="F392" s="57"/>
    </row>
    <row r="393">
      <c r="D393" s="13"/>
      <c r="F393" s="57"/>
    </row>
    <row r="394">
      <c r="D394" s="13"/>
      <c r="F394" s="57"/>
    </row>
    <row r="395">
      <c r="D395" s="13"/>
      <c r="F395" s="57"/>
    </row>
    <row r="396">
      <c r="D396" s="13"/>
      <c r="F396" s="57"/>
    </row>
    <row r="397">
      <c r="D397" s="13"/>
      <c r="F397" s="57"/>
    </row>
    <row r="398">
      <c r="D398" s="13"/>
      <c r="F398" s="57"/>
    </row>
    <row r="399">
      <c r="D399" s="13"/>
      <c r="F399" s="57"/>
    </row>
    <row r="400">
      <c r="D400" s="13"/>
      <c r="F400" s="57"/>
    </row>
    <row r="401">
      <c r="D401" s="13"/>
      <c r="F401" s="57"/>
    </row>
    <row r="402">
      <c r="D402" s="13"/>
      <c r="F402" s="57"/>
    </row>
    <row r="403">
      <c r="D403" s="13"/>
      <c r="F403" s="57"/>
    </row>
    <row r="404">
      <c r="D404" s="13"/>
      <c r="F404" s="57"/>
    </row>
    <row r="405">
      <c r="D405" s="13"/>
      <c r="F405" s="57"/>
    </row>
    <row r="406">
      <c r="D406" s="13"/>
      <c r="F406" s="57"/>
    </row>
    <row r="407">
      <c r="D407" s="13"/>
      <c r="F407" s="57"/>
    </row>
    <row r="408">
      <c r="D408" s="13"/>
      <c r="F408" s="57"/>
    </row>
    <row r="409">
      <c r="D409" s="13"/>
      <c r="F409" s="57"/>
    </row>
    <row r="410">
      <c r="D410" s="13"/>
      <c r="F410" s="57"/>
    </row>
    <row r="411">
      <c r="D411" s="13"/>
      <c r="F411" s="57"/>
    </row>
    <row r="412">
      <c r="D412" s="13"/>
      <c r="F412" s="57"/>
    </row>
    <row r="413">
      <c r="D413" s="13"/>
      <c r="F413" s="57"/>
    </row>
    <row r="414">
      <c r="D414" s="13"/>
      <c r="F414" s="57"/>
    </row>
    <row r="415">
      <c r="D415" s="13"/>
      <c r="F415" s="57"/>
    </row>
    <row r="416">
      <c r="D416" s="13"/>
      <c r="F416" s="57"/>
    </row>
    <row r="417">
      <c r="D417" s="13"/>
      <c r="F417" s="57"/>
    </row>
    <row r="418">
      <c r="D418" s="13"/>
      <c r="F418" s="57"/>
    </row>
    <row r="419">
      <c r="D419" s="13"/>
      <c r="F419" s="57"/>
    </row>
    <row r="420">
      <c r="D420" s="13"/>
      <c r="F420" s="57"/>
    </row>
    <row r="421">
      <c r="D421" s="13"/>
      <c r="F421" s="57"/>
    </row>
    <row r="422">
      <c r="D422" s="13"/>
      <c r="F422" s="57"/>
    </row>
    <row r="423">
      <c r="D423" s="13"/>
      <c r="F423" s="57"/>
    </row>
    <row r="424">
      <c r="D424" s="13"/>
      <c r="F424" s="57"/>
    </row>
    <row r="425">
      <c r="D425" s="13"/>
      <c r="F425" s="57"/>
    </row>
    <row r="426">
      <c r="D426" s="13"/>
      <c r="F426" s="57"/>
    </row>
    <row r="427">
      <c r="D427" s="13"/>
      <c r="F427" s="57"/>
    </row>
    <row r="428">
      <c r="D428" s="13"/>
      <c r="F428" s="57"/>
    </row>
    <row r="429">
      <c r="D429" s="13"/>
      <c r="F429" s="57"/>
    </row>
    <row r="430">
      <c r="D430" s="13"/>
      <c r="F430" s="57"/>
    </row>
    <row r="431">
      <c r="D431" s="13"/>
      <c r="F431" s="57"/>
    </row>
    <row r="432">
      <c r="D432" s="13"/>
      <c r="F432" s="57"/>
    </row>
    <row r="433">
      <c r="D433" s="13"/>
      <c r="F433" s="57"/>
    </row>
    <row r="434">
      <c r="D434" s="13"/>
      <c r="F434" s="57"/>
    </row>
    <row r="435">
      <c r="D435" s="13"/>
      <c r="F435" s="57"/>
    </row>
    <row r="436">
      <c r="D436" s="13"/>
      <c r="F436" s="57"/>
    </row>
    <row r="437">
      <c r="D437" s="13"/>
      <c r="F437" s="57"/>
    </row>
    <row r="438">
      <c r="D438" s="13"/>
      <c r="F438" s="57"/>
    </row>
    <row r="439">
      <c r="D439" s="13"/>
      <c r="F439" s="57"/>
    </row>
    <row r="440">
      <c r="D440" s="13"/>
      <c r="F440" s="57"/>
    </row>
    <row r="441">
      <c r="D441" s="13"/>
      <c r="F441" s="57"/>
    </row>
    <row r="442">
      <c r="D442" s="13"/>
      <c r="F442" s="57"/>
    </row>
    <row r="443">
      <c r="D443" s="13"/>
      <c r="F443" s="57"/>
    </row>
    <row r="444">
      <c r="D444" s="13"/>
      <c r="F444" s="57"/>
    </row>
    <row r="445">
      <c r="D445" s="13"/>
      <c r="F445" s="57"/>
    </row>
    <row r="446">
      <c r="D446" s="13"/>
      <c r="F446" s="57"/>
    </row>
    <row r="447">
      <c r="D447" s="13"/>
      <c r="F447" s="57"/>
    </row>
    <row r="448">
      <c r="D448" s="13"/>
      <c r="F448" s="57"/>
    </row>
    <row r="449">
      <c r="D449" s="13"/>
      <c r="F449" s="57"/>
    </row>
    <row r="450">
      <c r="D450" s="13"/>
      <c r="F450" s="57"/>
    </row>
    <row r="451">
      <c r="D451" s="13"/>
      <c r="F451" s="57"/>
    </row>
    <row r="452">
      <c r="D452" s="13"/>
      <c r="F452" s="57"/>
    </row>
    <row r="453">
      <c r="D453" s="13"/>
      <c r="F453" s="57"/>
    </row>
    <row r="454">
      <c r="D454" s="13"/>
      <c r="F454" s="57"/>
    </row>
    <row r="455">
      <c r="D455" s="13"/>
      <c r="F455" s="57"/>
    </row>
    <row r="456">
      <c r="D456" s="13"/>
      <c r="F456" s="57"/>
    </row>
    <row r="457">
      <c r="D457" s="13"/>
      <c r="F457" s="57"/>
    </row>
    <row r="458">
      <c r="D458" s="13"/>
      <c r="F458" s="57"/>
    </row>
    <row r="459">
      <c r="D459" s="13"/>
      <c r="F459" s="57"/>
    </row>
    <row r="460">
      <c r="D460" s="13"/>
      <c r="F460" s="57"/>
    </row>
    <row r="461">
      <c r="D461" s="13"/>
      <c r="F461" s="57"/>
    </row>
    <row r="462">
      <c r="D462" s="13"/>
      <c r="F462" s="57"/>
    </row>
    <row r="463">
      <c r="D463" s="13"/>
      <c r="F463" s="57"/>
    </row>
    <row r="464">
      <c r="D464" s="13"/>
      <c r="F464" s="57"/>
    </row>
    <row r="465">
      <c r="D465" s="13"/>
      <c r="F465" s="57"/>
    </row>
    <row r="466">
      <c r="D466" s="13"/>
      <c r="F466" s="57"/>
    </row>
    <row r="467">
      <c r="D467" s="13"/>
      <c r="F467" s="57"/>
    </row>
    <row r="468">
      <c r="D468" s="13"/>
      <c r="F468" s="57"/>
    </row>
    <row r="469">
      <c r="D469" s="13"/>
      <c r="F469" s="57"/>
    </row>
    <row r="470">
      <c r="D470" s="13"/>
      <c r="F470" s="57"/>
    </row>
    <row r="471">
      <c r="D471" s="13"/>
      <c r="F471" s="57"/>
    </row>
    <row r="472">
      <c r="D472" s="13"/>
      <c r="F472" s="57"/>
    </row>
    <row r="473">
      <c r="D473" s="13"/>
      <c r="F473" s="57"/>
    </row>
    <row r="474">
      <c r="D474" s="13"/>
      <c r="F474" s="57"/>
    </row>
    <row r="475">
      <c r="D475" s="13"/>
      <c r="F475" s="57"/>
    </row>
    <row r="476">
      <c r="D476" s="13"/>
      <c r="F476" s="57"/>
    </row>
    <row r="477">
      <c r="D477" s="13"/>
      <c r="F477" s="57"/>
    </row>
    <row r="478">
      <c r="D478" s="13"/>
      <c r="F478" s="57"/>
    </row>
    <row r="479">
      <c r="D479" s="13"/>
      <c r="F479" s="57"/>
    </row>
    <row r="480">
      <c r="D480" s="13"/>
      <c r="F480" s="57"/>
    </row>
    <row r="481">
      <c r="D481" s="13"/>
      <c r="F481" s="57"/>
    </row>
    <row r="482">
      <c r="D482" s="13"/>
      <c r="F482" s="57"/>
    </row>
    <row r="483">
      <c r="D483" s="13"/>
      <c r="F483" s="57"/>
    </row>
    <row r="484">
      <c r="D484" s="13"/>
      <c r="F484" s="57"/>
    </row>
    <row r="485">
      <c r="D485" s="13"/>
      <c r="F485" s="57"/>
    </row>
    <row r="486">
      <c r="D486" s="13"/>
      <c r="F486" s="57"/>
    </row>
    <row r="487">
      <c r="D487" s="13"/>
      <c r="F487" s="57"/>
    </row>
    <row r="488">
      <c r="D488" s="13"/>
      <c r="F488" s="57"/>
    </row>
    <row r="489">
      <c r="D489" s="13"/>
      <c r="F489" s="57"/>
    </row>
    <row r="490">
      <c r="D490" s="13"/>
      <c r="F490" s="57"/>
    </row>
    <row r="491">
      <c r="D491" s="13"/>
      <c r="F491" s="57"/>
    </row>
    <row r="492">
      <c r="D492" s="13"/>
      <c r="F492" s="57"/>
    </row>
    <row r="493">
      <c r="D493" s="13"/>
      <c r="F493" s="57"/>
    </row>
    <row r="494">
      <c r="D494" s="13"/>
      <c r="F494" s="57"/>
    </row>
    <row r="495">
      <c r="D495" s="13"/>
      <c r="F495" s="57"/>
    </row>
    <row r="496">
      <c r="D496" s="13"/>
      <c r="F496" s="57"/>
    </row>
    <row r="497">
      <c r="D497" s="13"/>
      <c r="F497" s="57"/>
    </row>
    <row r="498">
      <c r="D498" s="13"/>
      <c r="F498" s="57"/>
    </row>
    <row r="499">
      <c r="D499" s="13"/>
      <c r="F499" s="57"/>
    </row>
    <row r="500">
      <c r="D500" s="13"/>
      <c r="F500" s="57"/>
    </row>
    <row r="501">
      <c r="D501" s="13"/>
      <c r="F501" s="57"/>
    </row>
    <row r="502">
      <c r="D502" s="13"/>
      <c r="F502" s="57"/>
    </row>
    <row r="503">
      <c r="D503" s="13"/>
      <c r="F503" s="57"/>
    </row>
    <row r="504">
      <c r="D504" s="13"/>
      <c r="F504" s="57"/>
    </row>
    <row r="505">
      <c r="D505" s="13"/>
      <c r="F505" s="57"/>
    </row>
    <row r="506">
      <c r="D506" s="13"/>
      <c r="F506" s="57"/>
    </row>
    <row r="507">
      <c r="D507" s="13"/>
      <c r="F507" s="57"/>
    </row>
    <row r="508">
      <c r="D508" s="13"/>
      <c r="F508" s="57"/>
    </row>
    <row r="509">
      <c r="D509" s="13"/>
      <c r="F509" s="57"/>
    </row>
    <row r="510">
      <c r="D510" s="13"/>
      <c r="F510" s="57"/>
    </row>
    <row r="511">
      <c r="D511" s="13"/>
      <c r="F511" s="57"/>
    </row>
    <row r="512">
      <c r="D512" s="13"/>
      <c r="F512" s="57"/>
    </row>
    <row r="513">
      <c r="D513" s="13"/>
      <c r="F513" s="57"/>
    </row>
    <row r="514">
      <c r="D514" s="13"/>
      <c r="F514" s="57"/>
    </row>
    <row r="515">
      <c r="D515" s="13"/>
      <c r="F515" s="57"/>
    </row>
    <row r="516">
      <c r="D516" s="13"/>
      <c r="F516" s="57"/>
    </row>
    <row r="517">
      <c r="D517" s="13"/>
      <c r="F517" s="57"/>
    </row>
    <row r="518">
      <c r="D518" s="13"/>
      <c r="F518" s="57"/>
    </row>
    <row r="519">
      <c r="D519" s="13"/>
      <c r="F519" s="57"/>
    </row>
    <row r="520">
      <c r="D520" s="13"/>
      <c r="F520" s="57"/>
    </row>
    <row r="521">
      <c r="D521" s="13"/>
      <c r="F521" s="57"/>
    </row>
    <row r="522">
      <c r="D522" s="13"/>
      <c r="F522" s="57"/>
    </row>
    <row r="523">
      <c r="D523" s="13"/>
      <c r="F523" s="57"/>
    </row>
    <row r="524">
      <c r="D524" s="13"/>
      <c r="F524" s="57"/>
    </row>
    <row r="525">
      <c r="D525" s="13"/>
      <c r="F525" s="57"/>
    </row>
    <row r="526">
      <c r="D526" s="13"/>
      <c r="F526" s="57"/>
    </row>
    <row r="527">
      <c r="D527" s="13"/>
      <c r="F527" s="57"/>
    </row>
    <row r="528">
      <c r="D528" s="13"/>
      <c r="F528" s="57"/>
    </row>
    <row r="529">
      <c r="D529" s="13"/>
      <c r="F529" s="57"/>
    </row>
    <row r="530">
      <c r="D530" s="13"/>
      <c r="F530" s="57"/>
    </row>
    <row r="531">
      <c r="D531" s="13"/>
      <c r="F531" s="57"/>
    </row>
    <row r="532">
      <c r="D532" s="13"/>
      <c r="F532" s="57"/>
    </row>
    <row r="533">
      <c r="D533" s="13"/>
      <c r="F533" s="57"/>
    </row>
    <row r="534">
      <c r="D534" s="13"/>
      <c r="F534" s="57"/>
    </row>
    <row r="535">
      <c r="D535" s="13"/>
      <c r="F535" s="57"/>
    </row>
    <row r="536">
      <c r="D536" s="13"/>
      <c r="F536" s="57"/>
    </row>
    <row r="537">
      <c r="D537" s="13"/>
      <c r="F537" s="57"/>
    </row>
    <row r="538">
      <c r="D538" s="13"/>
      <c r="F538" s="57"/>
    </row>
    <row r="539">
      <c r="D539" s="13"/>
      <c r="F539" s="57"/>
    </row>
    <row r="540">
      <c r="D540" s="13"/>
      <c r="F540" s="57"/>
    </row>
    <row r="541">
      <c r="D541" s="13"/>
      <c r="F541" s="57"/>
    </row>
    <row r="542">
      <c r="D542" s="13"/>
      <c r="F542" s="57"/>
    </row>
    <row r="543">
      <c r="D543" s="13"/>
      <c r="F543" s="57"/>
    </row>
    <row r="544">
      <c r="D544" s="13"/>
      <c r="F544" s="57"/>
    </row>
    <row r="545">
      <c r="D545" s="13"/>
      <c r="F545" s="57"/>
    </row>
    <row r="546">
      <c r="D546" s="13"/>
      <c r="F546" s="57"/>
    </row>
    <row r="547">
      <c r="D547" s="13"/>
      <c r="F547" s="57"/>
    </row>
    <row r="548">
      <c r="D548" s="13"/>
      <c r="F548" s="57"/>
    </row>
    <row r="549">
      <c r="D549" s="13"/>
      <c r="F549" s="57"/>
    </row>
    <row r="550">
      <c r="D550" s="13"/>
      <c r="F550" s="57"/>
    </row>
    <row r="551">
      <c r="D551" s="13"/>
      <c r="F551" s="57"/>
    </row>
    <row r="552">
      <c r="D552" s="13"/>
      <c r="F552" s="57"/>
    </row>
    <row r="553">
      <c r="D553" s="13"/>
      <c r="F553" s="57"/>
    </row>
    <row r="554">
      <c r="D554" s="13"/>
      <c r="F554" s="57"/>
    </row>
    <row r="555">
      <c r="D555" s="13"/>
      <c r="F555" s="57"/>
    </row>
    <row r="556">
      <c r="D556" s="13"/>
      <c r="F556" s="57"/>
    </row>
    <row r="557">
      <c r="D557" s="13"/>
      <c r="F557" s="57"/>
    </row>
    <row r="558">
      <c r="D558" s="13"/>
      <c r="F558" s="57"/>
    </row>
    <row r="559">
      <c r="D559" s="13"/>
      <c r="F559" s="57"/>
    </row>
    <row r="560">
      <c r="D560" s="13"/>
      <c r="F560" s="57"/>
    </row>
    <row r="561">
      <c r="D561" s="13"/>
      <c r="F561" s="57"/>
    </row>
    <row r="562">
      <c r="D562" s="13"/>
      <c r="F562" s="57"/>
    </row>
    <row r="563">
      <c r="D563" s="13"/>
      <c r="F563" s="57"/>
    </row>
    <row r="564">
      <c r="D564" s="13"/>
      <c r="F564" s="57"/>
    </row>
    <row r="565">
      <c r="D565" s="13"/>
      <c r="F565" s="57"/>
    </row>
    <row r="566">
      <c r="D566" s="13"/>
      <c r="F566" s="57"/>
    </row>
    <row r="567">
      <c r="D567" s="13"/>
      <c r="F567" s="57"/>
    </row>
    <row r="568">
      <c r="D568" s="13"/>
      <c r="F568" s="57"/>
    </row>
    <row r="569">
      <c r="D569" s="13"/>
      <c r="F569" s="57"/>
    </row>
    <row r="570">
      <c r="D570" s="13"/>
      <c r="F570" s="57"/>
    </row>
    <row r="571">
      <c r="D571" s="13"/>
      <c r="F571" s="57"/>
    </row>
    <row r="572">
      <c r="D572" s="13"/>
      <c r="F572" s="57"/>
    </row>
    <row r="573">
      <c r="D573" s="13"/>
      <c r="F573" s="57"/>
    </row>
    <row r="574">
      <c r="D574" s="13"/>
      <c r="F574" s="57"/>
    </row>
    <row r="575">
      <c r="D575" s="13"/>
      <c r="F575" s="57"/>
    </row>
    <row r="576">
      <c r="D576" s="13"/>
      <c r="F576" s="57"/>
    </row>
    <row r="577">
      <c r="D577" s="13"/>
      <c r="F577" s="57"/>
    </row>
    <row r="578">
      <c r="D578" s="13"/>
      <c r="F578" s="57"/>
    </row>
    <row r="579">
      <c r="D579" s="13"/>
      <c r="F579" s="57"/>
    </row>
    <row r="580">
      <c r="D580" s="13"/>
      <c r="F580" s="57"/>
    </row>
    <row r="581">
      <c r="D581" s="13"/>
      <c r="F581" s="57"/>
    </row>
    <row r="582">
      <c r="D582" s="13"/>
      <c r="F582" s="57"/>
    </row>
    <row r="583">
      <c r="D583" s="13"/>
      <c r="F583" s="57"/>
    </row>
    <row r="584">
      <c r="D584" s="13"/>
      <c r="F584" s="57"/>
    </row>
    <row r="585">
      <c r="D585" s="13"/>
      <c r="F585" s="57"/>
    </row>
    <row r="586">
      <c r="D586" s="13"/>
      <c r="F586" s="57"/>
    </row>
    <row r="587">
      <c r="D587" s="13"/>
      <c r="F587" s="57"/>
    </row>
    <row r="588">
      <c r="D588" s="13"/>
      <c r="F588" s="57"/>
    </row>
    <row r="589">
      <c r="D589" s="13"/>
      <c r="F589" s="57"/>
    </row>
    <row r="590">
      <c r="D590" s="13"/>
      <c r="F590" s="57"/>
    </row>
    <row r="591">
      <c r="D591" s="13"/>
      <c r="F591" s="57"/>
    </row>
    <row r="592">
      <c r="D592" s="13"/>
      <c r="F592" s="57"/>
    </row>
    <row r="593">
      <c r="D593" s="13"/>
      <c r="F593" s="57"/>
    </row>
    <row r="594">
      <c r="D594" s="13"/>
      <c r="F594" s="57"/>
    </row>
    <row r="595">
      <c r="D595" s="13"/>
      <c r="F595" s="57"/>
    </row>
    <row r="596">
      <c r="D596" s="13"/>
      <c r="F596" s="57"/>
    </row>
    <row r="597">
      <c r="D597" s="13"/>
      <c r="F597" s="57"/>
    </row>
    <row r="598">
      <c r="D598" s="13"/>
      <c r="F598" s="57"/>
    </row>
    <row r="599">
      <c r="D599" s="13"/>
      <c r="F599" s="57"/>
    </row>
    <row r="600">
      <c r="D600" s="13"/>
      <c r="F600" s="57"/>
    </row>
    <row r="601">
      <c r="D601" s="13"/>
      <c r="F601" s="57"/>
    </row>
    <row r="602">
      <c r="D602" s="13"/>
      <c r="F602" s="57"/>
    </row>
    <row r="603">
      <c r="D603" s="13"/>
      <c r="F603" s="57"/>
    </row>
    <row r="604">
      <c r="D604" s="13"/>
      <c r="F604" s="57"/>
    </row>
    <row r="605">
      <c r="D605" s="13"/>
      <c r="F605" s="57"/>
    </row>
    <row r="606">
      <c r="D606" s="13"/>
      <c r="F606" s="57"/>
    </row>
    <row r="607">
      <c r="D607" s="13"/>
      <c r="F607" s="57"/>
    </row>
    <row r="608">
      <c r="D608" s="13"/>
      <c r="F608" s="57"/>
    </row>
    <row r="609">
      <c r="D609" s="13"/>
      <c r="F609" s="57"/>
    </row>
    <row r="610">
      <c r="D610" s="13"/>
      <c r="F610" s="57"/>
    </row>
    <row r="611">
      <c r="D611" s="13"/>
      <c r="F611" s="57"/>
    </row>
    <row r="612">
      <c r="D612" s="13"/>
      <c r="F612" s="57"/>
    </row>
    <row r="613">
      <c r="D613" s="13"/>
      <c r="F613" s="57"/>
    </row>
    <row r="614">
      <c r="D614" s="13"/>
      <c r="F614" s="57"/>
    </row>
    <row r="615">
      <c r="D615" s="13"/>
      <c r="F615" s="57"/>
    </row>
    <row r="616">
      <c r="D616" s="13"/>
      <c r="F616" s="57"/>
    </row>
    <row r="617">
      <c r="D617" s="13"/>
      <c r="F617" s="57"/>
    </row>
    <row r="618">
      <c r="D618" s="13"/>
      <c r="F618" s="57"/>
    </row>
    <row r="619">
      <c r="D619" s="13"/>
      <c r="F619" s="57"/>
    </row>
    <row r="620">
      <c r="D620" s="13"/>
      <c r="F620" s="57"/>
    </row>
    <row r="621">
      <c r="D621" s="13"/>
      <c r="F621" s="57"/>
    </row>
    <row r="622">
      <c r="D622" s="13"/>
      <c r="F622" s="57"/>
    </row>
    <row r="623">
      <c r="D623" s="13"/>
      <c r="F623" s="57"/>
    </row>
    <row r="624">
      <c r="D624" s="13"/>
      <c r="F624" s="57"/>
    </row>
    <row r="625">
      <c r="D625" s="13"/>
      <c r="F625" s="57"/>
    </row>
    <row r="626">
      <c r="D626" s="13"/>
      <c r="F626" s="57"/>
    </row>
    <row r="627">
      <c r="D627" s="13"/>
      <c r="F627" s="57"/>
    </row>
    <row r="628">
      <c r="D628" s="13"/>
      <c r="F628" s="57"/>
    </row>
    <row r="629">
      <c r="D629" s="13"/>
      <c r="F629" s="57"/>
    </row>
    <row r="630">
      <c r="D630" s="13"/>
      <c r="F630" s="57"/>
    </row>
    <row r="631">
      <c r="D631" s="13"/>
      <c r="F631" s="57"/>
    </row>
    <row r="632">
      <c r="D632" s="13"/>
      <c r="F632" s="57"/>
    </row>
    <row r="633">
      <c r="D633" s="13"/>
      <c r="F633" s="57"/>
    </row>
    <row r="634">
      <c r="D634" s="13"/>
      <c r="F634" s="57"/>
    </row>
    <row r="635">
      <c r="D635" s="13"/>
      <c r="F635" s="57"/>
    </row>
    <row r="636">
      <c r="D636" s="13"/>
      <c r="F636" s="57"/>
    </row>
    <row r="637">
      <c r="D637" s="13"/>
      <c r="F637" s="57"/>
    </row>
    <row r="638">
      <c r="D638" s="13"/>
      <c r="F638" s="57"/>
    </row>
    <row r="639">
      <c r="D639" s="13"/>
      <c r="F639" s="57"/>
    </row>
    <row r="640">
      <c r="D640" s="13"/>
      <c r="F640" s="57"/>
    </row>
    <row r="641">
      <c r="D641" s="13"/>
      <c r="F641" s="57"/>
    </row>
    <row r="642">
      <c r="D642" s="13"/>
      <c r="F642" s="57"/>
    </row>
    <row r="643">
      <c r="D643" s="13"/>
      <c r="F643" s="57"/>
    </row>
    <row r="644">
      <c r="D644" s="13"/>
      <c r="F644" s="57"/>
    </row>
    <row r="645">
      <c r="D645" s="13"/>
      <c r="F645" s="57"/>
    </row>
    <row r="646">
      <c r="D646" s="13"/>
      <c r="F646" s="57"/>
    </row>
    <row r="647">
      <c r="D647" s="13"/>
      <c r="F647" s="57"/>
    </row>
    <row r="648">
      <c r="D648" s="13"/>
      <c r="F648" s="57"/>
    </row>
    <row r="649">
      <c r="D649" s="13"/>
      <c r="F649" s="57"/>
    </row>
    <row r="650">
      <c r="D650" s="13"/>
      <c r="F650" s="57"/>
    </row>
    <row r="651">
      <c r="D651" s="13"/>
      <c r="F651" s="57"/>
    </row>
    <row r="652">
      <c r="D652" s="13"/>
      <c r="F652" s="57"/>
    </row>
    <row r="653">
      <c r="D653" s="13"/>
      <c r="F653" s="57"/>
    </row>
    <row r="654">
      <c r="D654" s="13"/>
      <c r="F654" s="57"/>
    </row>
    <row r="655">
      <c r="D655" s="13"/>
      <c r="F655" s="57"/>
    </row>
    <row r="656">
      <c r="D656" s="13"/>
      <c r="F656" s="57"/>
    </row>
    <row r="657">
      <c r="D657" s="13"/>
      <c r="F657" s="57"/>
    </row>
    <row r="658">
      <c r="D658" s="13"/>
      <c r="F658" s="57"/>
    </row>
    <row r="659">
      <c r="D659" s="13"/>
      <c r="F659" s="57"/>
    </row>
    <row r="660">
      <c r="D660" s="13"/>
      <c r="F660" s="57"/>
    </row>
    <row r="661">
      <c r="D661" s="13"/>
      <c r="F661" s="57"/>
    </row>
    <row r="662">
      <c r="D662" s="13"/>
      <c r="F662" s="57"/>
    </row>
    <row r="663">
      <c r="D663" s="13"/>
      <c r="F663" s="57"/>
    </row>
    <row r="664">
      <c r="D664" s="13"/>
      <c r="F664" s="57"/>
    </row>
    <row r="665">
      <c r="D665" s="13"/>
      <c r="F665" s="57"/>
    </row>
    <row r="666">
      <c r="D666" s="13"/>
      <c r="F666" s="57"/>
    </row>
    <row r="667">
      <c r="D667" s="13"/>
      <c r="F667" s="57"/>
    </row>
    <row r="668">
      <c r="D668" s="13"/>
      <c r="F668" s="57"/>
    </row>
    <row r="669">
      <c r="D669" s="13"/>
      <c r="F669" s="57"/>
    </row>
    <row r="670">
      <c r="D670" s="13"/>
      <c r="F670" s="57"/>
    </row>
    <row r="671">
      <c r="D671" s="13"/>
      <c r="F671" s="57"/>
    </row>
    <row r="672">
      <c r="D672" s="13"/>
      <c r="F672" s="57"/>
    </row>
    <row r="673">
      <c r="D673" s="13"/>
      <c r="F673" s="57"/>
    </row>
    <row r="674">
      <c r="D674" s="13"/>
      <c r="F674" s="57"/>
    </row>
    <row r="675">
      <c r="D675" s="13"/>
      <c r="F675" s="57"/>
    </row>
    <row r="676">
      <c r="D676" s="13"/>
      <c r="F676" s="57"/>
    </row>
    <row r="677">
      <c r="D677" s="13"/>
      <c r="F677" s="57"/>
    </row>
    <row r="678">
      <c r="D678" s="13"/>
      <c r="F678" s="57"/>
    </row>
    <row r="679">
      <c r="D679" s="13"/>
      <c r="F679" s="57"/>
    </row>
    <row r="680">
      <c r="D680" s="13"/>
      <c r="F680" s="57"/>
    </row>
    <row r="681">
      <c r="D681" s="13"/>
      <c r="F681" s="57"/>
    </row>
    <row r="682">
      <c r="D682" s="13"/>
      <c r="F682" s="57"/>
    </row>
    <row r="683">
      <c r="D683" s="13"/>
      <c r="F683" s="57"/>
    </row>
    <row r="684">
      <c r="D684" s="13"/>
      <c r="F684" s="57"/>
    </row>
    <row r="685">
      <c r="D685" s="13"/>
      <c r="F685" s="57"/>
    </row>
    <row r="686">
      <c r="D686" s="13"/>
      <c r="F686" s="57"/>
    </row>
    <row r="687">
      <c r="D687" s="13"/>
      <c r="F687" s="57"/>
    </row>
    <row r="688">
      <c r="D688" s="13"/>
      <c r="F688" s="57"/>
    </row>
    <row r="689">
      <c r="D689" s="13"/>
      <c r="F689" s="57"/>
    </row>
    <row r="690">
      <c r="D690" s="13"/>
      <c r="F690" s="57"/>
    </row>
    <row r="691">
      <c r="D691" s="13"/>
      <c r="F691" s="57"/>
    </row>
    <row r="692">
      <c r="D692" s="13"/>
      <c r="F692" s="57"/>
    </row>
    <row r="693">
      <c r="D693" s="13"/>
      <c r="F693" s="57"/>
    </row>
    <row r="694">
      <c r="D694" s="13"/>
      <c r="F694" s="57"/>
    </row>
    <row r="695">
      <c r="D695" s="13"/>
      <c r="F695" s="57"/>
    </row>
    <row r="696">
      <c r="D696" s="13"/>
      <c r="F696" s="57"/>
    </row>
    <row r="697">
      <c r="D697" s="13"/>
      <c r="F697" s="57"/>
    </row>
    <row r="698">
      <c r="D698" s="13"/>
      <c r="F698" s="57"/>
    </row>
    <row r="699">
      <c r="D699" s="13"/>
      <c r="F699" s="57"/>
    </row>
    <row r="700">
      <c r="D700" s="13"/>
      <c r="F700" s="57"/>
    </row>
    <row r="701">
      <c r="D701" s="13"/>
      <c r="F701" s="57"/>
    </row>
    <row r="702">
      <c r="D702" s="13"/>
      <c r="F702" s="57"/>
    </row>
    <row r="703">
      <c r="D703" s="13"/>
      <c r="F703" s="57"/>
    </row>
    <row r="704">
      <c r="D704" s="13"/>
      <c r="F704" s="57"/>
    </row>
    <row r="705">
      <c r="D705" s="13"/>
      <c r="F705" s="57"/>
    </row>
    <row r="706">
      <c r="D706" s="13"/>
      <c r="F706" s="57"/>
    </row>
    <row r="707">
      <c r="D707" s="13"/>
      <c r="F707" s="57"/>
    </row>
    <row r="708">
      <c r="D708" s="13"/>
      <c r="F708" s="57"/>
    </row>
    <row r="709">
      <c r="D709" s="13"/>
      <c r="F709" s="57"/>
    </row>
    <row r="710">
      <c r="D710" s="13"/>
      <c r="F710" s="57"/>
    </row>
    <row r="711">
      <c r="D711" s="13"/>
      <c r="F711" s="57"/>
    </row>
    <row r="712">
      <c r="D712" s="13"/>
      <c r="F712" s="57"/>
    </row>
    <row r="713">
      <c r="D713" s="13"/>
      <c r="F713" s="57"/>
    </row>
    <row r="714">
      <c r="D714" s="13"/>
      <c r="F714" s="57"/>
    </row>
    <row r="715">
      <c r="D715" s="13"/>
      <c r="F715" s="57"/>
    </row>
    <row r="716">
      <c r="D716" s="13"/>
      <c r="F716" s="57"/>
    </row>
    <row r="717">
      <c r="D717" s="13"/>
      <c r="F717" s="57"/>
    </row>
    <row r="718">
      <c r="D718" s="13"/>
      <c r="F718" s="57"/>
    </row>
    <row r="719">
      <c r="D719" s="13"/>
      <c r="F719" s="57"/>
    </row>
    <row r="720">
      <c r="D720" s="13"/>
      <c r="F720" s="57"/>
    </row>
    <row r="721">
      <c r="D721" s="13"/>
      <c r="F721" s="57"/>
    </row>
    <row r="722">
      <c r="D722" s="13"/>
      <c r="F722" s="57"/>
    </row>
    <row r="723">
      <c r="D723" s="13"/>
      <c r="F723" s="57"/>
    </row>
    <row r="724">
      <c r="D724" s="13"/>
      <c r="F724" s="57"/>
    </row>
    <row r="725">
      <c r="D725" s="13"/>
      <c r="F725" s="57"/>
    </row>
    <row r="726">
      <c r="D726" s="13"/>
      <c r="F726" s="57"/>
    </row>
    <row r="727">
      <c r="D727" s="13"/>
      <c r="F727" s="57"/>
    </row>
    <row r="728">
      <c r="D728" s="13"/>
      <c r="F728" s="57"/>
    </row>
    <row r="729">
      <c r="D729" s="13"/>
      <c r="F729" s="57"/>
    </row>
    <row r="730">
      <c r="D730" s="13"/>
      <c r="F730" s="57"/>
    </row>
    <row r="731">
      <c r="D731" s="13"/>
      <c r="F731" s="57"/>
    </row>
    <row r="732">
      <c r="D732" s="13"/>
      <c r="F732" s="57"/>
    </row>
    <row r="733">
      <c r="D733" s="13"/>
      <c r="F733" s="57"/>
    </row>
    <row r="734">
      <c r="D734" s="13"/>
      <c r="F734" s="57"/>
    </row>
    <row r="735">
      <c r="D735" s="13"/>
      <c r="F735" s="57"/>
    </row>
    <row r="736">
      <c r="D736" s="13"/>
      <c r="F736" s="57"/>
    </row>
    <row r="737">
      <c r="D737" s="13"/>
      <c r="F737" s="57"/>
    </row>
    <row r="738">
      <c r="D738" s="13"/>
      <c r="F738" s="57"/>
    </row>
    <row r="739">
      <c r="D739" s="13"/>
      <c r="F739" s="57"/>
    </row>
    <row r="740">
      <c r="D740" s="13"/>
      <c r="F740" s="57"/>
    </row>
    <row r="741">
      <c r="D741" s="13"/>
      <c r="F741" s="57"/>
    </row>
    <row r="742">
      <c r="D742" s="13"/>
      <c r="F742" s="57"/>
    </row>
    <row r="743">
      <c r="D743" s="13"/>
      <c r="F743" s="57"/>
    </row>
    <row r="744">
      <c r="D744" s="13"/>
      <c r="F744" s="57"/>
    </row>
    <row r="745">
      <c r="D745" s="13"/>
      <c r="F745" s="57"/>
    </row>
    <row r="746">
      <c r="D746" s="13"/>
      <c r="F746" s="57"/>
    </row>
    <row r="747">
      <c r="D747" s="13"/>
      <c r="F747" s="57"/>
    </row>
    <row r="748">
      <c r="D748" s="13"/>
      <c r="F748" s="57"/>
    </row>
    <row r="749">
      <c r="D749" s="13"/>
      <c r="F749" s="57"/>
    </row>
    <row r="750">
      <c r="D750" s="13"/>
      <c r="F750" s="57"/>
    </row>
    <row r="751">
      <c r="D751" s="13"/>
      <c r="F751" s="57"/>
    </row>
    <row r="752">
      <c r="D752" s="13"/>
      <c r="F752" s="57"/>
    </row>
    <row r="753">
      <c r="D753" s="13"/>
      <c r="F753" s="57"/>
    </row>
    <row r="754">
      <c r="D754" s="13"/>
      <c r="F754" s="57"/>
    </row>
    <row r="755">
      <c r="D755" s="13"/>
      <c r="F755" s="57"/>
    </row>
    <row r="756">
      <c r="D756" s="13"/>
      <c r="F756" s="57"/>
    </row>
    <row r="757">
      <c r="D757" s="13"/>
      <c r="F757" s="57"/>
    </row>
    <row r="758">
      <c r="D758" s="13"/>
      <c r="F758" s="57"/>
    </row>
    <row r="759">
      <c r="D759" s="13"/>
      <c r="F759" s="57"/>
    </row>
    <row r="760">
      <c r="D760" s="13"/>
      <c r="F760" s="57"/>
    </row>
    <row r="761">
      <c r="D761" s="13"/>
      <c r="F761" s="57"/>
    </row>
    <row r="762">
      <c r="D762" s="13"/>
      <c r="F762" s="57"/>
    </row>
    <row r="763">
      <c r="D763" s="13"/>
      <c r="F763" s="57"/>
    </row>
    <row r="764">
      <c r="D764" s="13"/>
      <c r="F764" s="57"/>
    </row>
    <row r="765">
      <c r="D765" s="13"/>
      <c r="F765" s="57"/>
    </row>
    <row r="766">
      <c r="D766" s="13"/>
      <c r="F766" s="57"/>
    </row>
    <row r="767">
      <c r="D767" s="13"/>
      <c r="F767" s="57"/>
    </row>
    <row r="768">
      <c r="D768" s="13"/>
      <c r="F768" s="57"/>
    </row>
    <row r="769">
      <c r="D769" s="13"/>
      <c r="F769" s="57"/>
    </row>
    <row r="770">
      <c r="D770" s="13"/>
      <c r="F770" s="57"/>
    </row>
    <row r="771">
      <c r="D771" s="13"/>
      <c r="F771" s="57"/>
    </row>
    <row r="772">
      <c r="D772" s="13"/>
      <c r="F772" s="57"/>
    </row>
    <row r="773">
      <c r="D773" s="13"/>
      <c r="F773" s="57"/>
    </row>
    <row r="774">
      <c r="D774" s="13"/>
      <c r="F774" s="57"/>
    </row>
    <row r="775">
      <c r="D775" s="13"/>
      <c r="F775" s="57"/>
    </row>
    <row r="776">
      <c r="D776" s="13"/>
      <c r="F776" s="57"/>
    </row>
    <row r="777">
      <c r="D777" s="13"/>
      <c r="F777" s="57"/>
    </row>
    <row r="778">
      <c r="D778" s="13"/>
      <c r="F778" s="57"/>
    </row>
    <row r="779">
      <c r="D779" s="13"/>
      <c r="F779" s="57"/>
    </row>
    <row r="780">
      <c r="D780" s="13"/>
      <c r="F780" s="57"/>
    </row>
    <row r="781">
      <c r="D781" s="13"/>
      <c r="F781" s="57"/>
    </row>
    <row r="782">
      <c r="D782" s="13"/>
      <c r="F782" s="57"/>
    </row>
    <row r="783">
      <c r="D783" s="13"/>
      <c r="F783" s="57"/>
    </row>
    <row r="784">
      <c r="D784" s="13"/>
      <c r="F784" s="57"/>
    </row>
    <row r="785">
      <c r="D785" s="13"/>
      <c r="F785" s="57"/>
    </row>
    <row r="786">
      <c r="D786" s="13"/>
      <c r="F786" s="57"/>
    </row>
    <row r="787">
      <c r="D787" s="13"/>
      <c r="F787" s="57"/>
    </row>
    <row r="788">
      <c r="D788" s="13"/>
      <c r="F788" s="57"/>
    </row>
    <row r="789">
      <c r="D789" s="13"/>
      <c r="F789" s="57"/>
    </row>
    <row r="790">
      <c r="D790" s="13"/>
      <c r="F790" s="57"/>
    </row>
    <row r="791">
      <c r="D791" s="13"/>
      <c r="F791" s="57"/>
    </row>
    <row r="792">
      <c r="D792" s="13"/>
      <c r="F792" s="57"/>
    </row>
    <row r="793">
      <c r="D793" s="13"/>
      <c r="F793" s="57"/>
    </row>
    <row r="794">
      <c r="D794" s="13"/>
      <c r="F794" s="57"/>
    </row>
    <row r="795">
      <c r="D795" s="13"/>
      <c r="F795" s="57"/>
    </row>
    <row r="796">
      <c r="D796" s="13"/>
      <c r="F796" s="57"/>
    </row>
    <row r="797">
      <c r="D797" s="13"/>
      <c r="F797" s="57"/>
    </row>
    <row r="798">
      <c r="D798" s="13"/>
      <c r="F798" s="57"/>
    </row>
    <row r="799">
      <c r="D799" s="13"/>
      <c r="F799" s="57"/>
    </row>
    <row r="800">
      <c r="D800" s="13"/>
      <c r="F800" s="57"/>
    </row>
    <row r="801">
      <c r="D801" s="13"/>
      <c r="F801" s="57"/>
    </row>
    <row r="802">
      <c r="D802" s="13"/>
      <c r="F802" s="57"/>
    </row>
    <row r="803">
      <c r="D803" s="13"/>
      <c r="F803" s="57"/>
    </row>
    <row r="804">
      <c r="D804" s="13"/>
      <c r="F804" s="57"/>
    </row>
    <row r="805">
      <c r="D805" s="13"/>
      <c r="F805" s="57"/>
    </row>
    <row r="806">
      <c r="D806" s="13"/>
      <c r="F806" s="57"/>
    </row>
    <row r="807">
      <c r="D807" s="13"/>
      <c r="F807" s="57"/>
    </row>
    <row r="808">
      <c r="D808" s="13"/>
      <c r="F808" s="57"/>
    </row>
    <row r="809">
      <c r="D809" s="13"/>
      <c r="F809" s="57"/>
    </row>
    <row r="810">
      <c r="D810" s="13"/>
      <c r="F810" s="57"/>
    </row>
    <row r="811">
      <c r="D811" s="13"/>
      <c r="F811" s="57"/>
    </row>
    <row r="812">
      <c r="D812" s="13"/>
      <c r="F812" s="57"/>
    </row>
    <row r="813">
      <c r="D813" s="13"/>
      <c r="F813" s="57"/>
    </row>
    <row r="814">
      <c r="D814" s="13"/>
      <c r="F814" s="57"/>
    </row>
    <row r="815">
      <c r="D815" s="13"/>
      <c r="F815" s="57"/>
    </row>
    <row r="816">
      <c r="D816" s="13"/>
      <c r="F816" s="57"/>
    </row>
    <row r="817">
      <c r="D817" s="13"/>
      <c r="F817" s="57"/>
    </row>
    <row r="818">
      <c r="D818" s="13"/>
      <c r="F818" s="57"/>
    </row>
    <row r="819">
      <c r="D819" s="13"/>
      <c r="F819" s="57"/>
    </row>
    <row r="820">
      <c r="D820" s="13"/>
      <c r="F820" s="57"/>
    </row>
    <row r="821">
      <c r="D821" s="13"/>
      <c r="F821" s="57"/>
    </row>
    <row r="822">
      <c r="D822" s="13"/>
      <c r="F822" s="57"/>
    </row>
    <row r="823">
      <c r="D823" s="13"/>
      <c r="F823" s="57"/>
    </row>
    <row r="824">
      <c r="D824" s="13"/>
      <c r="F824" s="57"/>
    </row>
    <row r="825">
      <c r="D825" s="13"/>
      <c r="F825" s="57"/>
    </row>
    <row r="826">
      <c r="D826" s="13"/>
      <c r="F826" s="57"/>
    </row>
    <row r="827">
      <c r="D827" s="13"/>
      <c r="F827" s="57"/>
    </row>
    <row r="828">
      <c r="D828" s="13"/>
      <c r="F828" s="57"/>
    </row>
    <row r="829">
      <c r="D829" s="13"/>
      <c r="F829" s="57"/>
    </row>
    <row r="830">
      <c r="D830" s="13"/>
      <c r="F830" s="57"/>
    </row>
    <row r="831">
      <c r="D831" s="13"/>
      <c r="F831" s="57"/>
    </row>
    <row r="832">
      <c r="D832" s="13"/>
      <c r="F832" s="57"/>
    </row>
    <row r="833">
      <c r="D833" s="13"/>
      <c r="F833" s="57"/>
    </row>
    <row r="834">
      <c r="D834" s="13"/>
      <c r="F834" s="57"/>
    </row>
    <row r="835">
      <c r="D835" s="13"/>
      <c r="F835" s="57"/>
    </row>
    <row r="836">
      <c r="D836" s="13"/>
      <c r="F836" s="57"/>
    </row>
    <row r="837">
      <c r="D837" s="13"/>
      <c r="F837" s="57"/>
    </row>
    <row r="838">
      <c r="D838" s="13"/>
      <c r="F838" s="57"/>
    </row>
    <row r="839">
      <c r="D839" s="13"/>
      <c r="F839" s="57"/>
    </row>
    <row r="840">
      <c r="D840" s="13"/>
      <c r="F840" s="57"/>
    </row>
    <row r="841">
      <c r="D841" s="13"/>
      <c r="F841" s="57"/>
    </row>
    <row r="842">
      <c r="D842" s="13"/>
      <c r="F842" s="57"/>
    </row>
    <row r="843">
      <c r="D843" s="13"/>
      <c r="F843" s="57"/>
    </row>
    <row r="844">
      <c r="D844" s="13"/>
      <c r="F844" s="57"/>
    </row>
    <row r="845">
      <c r="D845" s="13"/>
      <c r="F845" s="57"/>
    </row>
    <row r="846">
      <c r="D846" s="13"/>
      <c r="F846" s="57"/>
    </row>
    <row r="847">
      <c r="D847" s="13"/>
      <c r="F847" s="57"/>
    </row>
    <row r="848">
      <c r="D848" s="13"/>
      <c r="F848" s="57"/>
    </row>
    <row r="849">
      <c r="D849" s="13"/>
      <c r="F849" s="57"/>
    </row>
    <row r="850">
      <c r="D850" s="13"/>
      <c r="F850" s="57"/>
    </row>
    <row r="851">
      <c r="D851" s="13"/>
      <c r="F851" s="57"/>
    </row>
    <row r="852">
      <c r="D852" s="13"/>
      <c r="F852" s="57"/>
    </row>
    <row r="853">
      <c r="D853" s="13"/>
      <c r="F853" s="57"/>
    </row>
    <row r="854">
      <c r="D854" s="13"/>
      <c r="F854" s="57"/>
    </row>
    <row r="855">
      <c r="D855" s="13"/>
      <c r="F855" s="57"/>
    </row>
    <row r="856">
      <c r="D856" s="13"/>
      <c r="F856" s="57"/>
    </row>
    <row r="857">
      <c r="D857" s="13"/>
      <c r="F857" s="57"/>
    </row>
    <row r="858">
      <c r="D858" s="13"/>
      <c r="F858" s="57"/>
    </row>
    <row r="859">
      <c r="D859" s="13"/>
      <c r="F859" s="57"/>
    </row>
    <row r="860">
      <c r="D860" s="13"/>
      <c r="F860" s="57"/>
    </row>
    <row r="861">
      <c r="D861" s="13"/>
      <c r="F861" s="57"/>
    </row>
    <row r="862">
      <c r="D862" s="13"/>
      <c r="F862" s="57"/>
    </row>
    <row r="863">
      <c r="D863" s="13"/>
      <c r="F863" s="57"/>
    </row>
    <row r="864">
      <c r="D864" s="13"/>
      <c r="F864" s="57"/>
    </row>
    <row r="865">
      <c r="D865" s="13"/>
      <c r="F865" s="57"/>
    </row>
    <row r="866">
      <c r="D866" s="13"/>
      <c r="F866" s="57"/>
    </row>
    <row r="867">
      <c r="D867" s="13"/>
      <c r="F867" s="57"/>
    </row>
    <row r="868">
      <c r="D868" s="13"/>
      <c r="F868" s="57"/>
    </row>
    <row r="869">
      <c r="D869" s="13"/>
      <c r="F869" s="57"/>
    </row>
    <row r="870">
      <c r="D870" s="13"/>
      <c r="F870" s="57"/>
    </row>
    <row r="871">
      <c r="D871" s="13"/>
      <c r="F871" s="57"/>
    </row>
    <row r="872">
      <c r="D872" s="13"/>
      <c r="F872" s="57"/>
    </row>
    <row r="873">
      <c r="D873" s="13"/>
      <c r="F873" s="57"/>
    </row>
    <row r="874">
      <c r="D874" s="13"/>
      <c r="F874" s="57"/>
    </row>
    <row r="875">
      <c r="D875" s="13"/>
      <c r="F875" s="57"/>
    </row>
    <row r="876">
      <c r="D876" s="13"/>
      <c r="F876" s="57"/>
    </row>
    <row r="877">
      <c r="D877" s="13"/>
      <c r="F877" s="57"/>
    </row>
    <row r="878">
      <c r="D878" s="13"/>
      <c r="F878" s="57"/>
    </row>
    <row r="879">
      <c r="D879" s="13"/>
      <c r="F879" s="57"/>
    </row>
    <row r="880">
      <c r="D880" s="13"/>
      <c r="F880" s="57"/>
    </row>
    <row r="881">
      <c r="D881" s="13"/>
      <c r="F881" s="57"/>
    </row>
    <row r="882">
      <c r="D882" s="13"/>
      <c r="F882" s="57"/>
    </row>
    <row r="883">
      <c r="D883" s="13"/>
      <c r="F883" s="57"/>
    </row>
    <row r="884">
      <c r="D884" s="13"/>
      <c r="F884" s="57"/>
    </row>
    <row r="885">
      <c r="D885" s="13"/>
      <c r="F885" s="57"/>
    </row>
    <row r="886">
      <c r="D886" s="13"/>
      <c r="F886" s="57"/>
    </row>
    <row r="887">
      <c r="D887" s="13"/>
      <c r="F887" s="57"/>
    </row>
    <row r="888">
      <c r="D888" s="13"/>
      <c r="F888" s="57"/>
    </row>
    <row r="889">
      <c r="D889" s="13"/>
      <c r="F889" s="57"/>
    </row>
    <row r="890">
      <c r="D890" s="13"/>
      <c r="F890" s="57"/>
    </row>
    <row r="891">
      <c r="D891" s="13"/>
      <c r="F891" s="57"/>
    </row>
    <row r="892">
      <c r="D892" s="13"/>
      <c r="F892" s="57"/>
    </row>
    <row r="893">
      <c r="D893" s="13"/>
      <c r="F893" s="57"/>
    </row>
    <row r="894">
      <c r="D894" s="13"/>
      <c r="F894" s="57"/>
    </row>
    <row r="895">
      <c r="D895" s="13"/>
      <c r="F895" s="57"/>
    </row>
    <row r="896">
      <c r="D896" s="13"/>
      <c r="F896" s="57"/>
    </row>
    <row r="897">
      <c r="D897" s="13"/>
      <c r="F897" s="57"/>
    </row>
    <row r="898">
      <c r="D898" s="13"/>
      <c r="F898" s="57"/>
    </row>
    <row r="899">
      <c r="D899" s="13"/>
      <c r="F899" s="57"/>
    </row>
    <row r="900">
      <c r="D900" s="13"/>
      <c r="F900" s="57"/>
    </row>
    <row r="901">
      <c r="D901" s="13"/>
      <c r="F901" s="57"/>
    </row>
    <row r="902">
      <c r="D902" s="13"/>
      <c r="F902" s="57"/>
    </row>
    <row r="903">
      <c r="D903" s="13"/>
      <c r="F903" s="57"/>
    </row>
    <row r="904">
      <c r="D904" s="13"/>
      <c r="F904" s="57"/>
    </row>
    <row r="905">
      <c r="D905" s="13"/>
      <c r="F905" s="57"/>
    </row>
    <row r="906">
      <c r="D906" s="13"/>
      <c r="F906" s="57"/>
    </row>
    <row r="907">
      <c r="D907" s="13"/>
      <c r="F907" s="57"/>
    </row>
    <row r="908">
      <c r="D908" s="13"/>
      <c r="F908" s="57"/>
    </row>
    <row r="909">
      <c r="D909" s="13"/>
      <c r="F909" s="57"/>
    </row>
    <row r="910">
      <c r="D910" s="13"/>
      <c r="F910" s="57"/>
    </row>
    <row r="911">
      <c r="D911" s="13"/>
      <c r="F911" s="57"/>
    </row>
    <row r="912">
      <c r="D912" s="13"/>
      <c r="F912" s="57"/>
    </row>
    <row r="913">
      <c r="D913" s="13"/>
      <c r="F913" s="57"/>
    </row>
    <row r="914">
      <c r="D914" s="13"/>
      <c r="F914" s="57"/>
    </row>
    <row r="915">
      <c r="D915" s="13"/>
      <c r="F915" s="57"/>
    </row>
    <row r="916">
      <c r="D916" s="13"/>
      <c r="F916" s="57"/>
    </row>
    <row r="917">
      <c r="D917" s="13"/>
      <c r="F917" s="57"/>
    </row>
    <row r="918">
      <c r="D918" s="13"/>
      <c r="F918" s="57"/>
    </row>
    <row r="919">
      <c r="D919" s="13"/>
      <c r="F919" s="57"/>
    </row>
    <row r="920">
      <c r="D920" s="13"/>
      <c r="F920" s="57"/>
    </row>
    <row r="921">
      <c r="D921" s="13"/>
      <c r="F921" s="57"/>
    </row>
    <row r="922">
      <c r="D922" s="13"/>
      <c r="F922" s="57"/>
    </row>
    <row r="923">
      <c r="D923" s="13"/>
      <c r="F923" s="57"/>
    </row>
    <row r="924">
      <c r="D924" s="13"/>
      <c r="F924" s="57"/>
    </row>
    <row r="925">
      <c r="D925" s="13"/>
      <c r="F925" s="57"/>
    </row>
    <row r="926">
      <c r="D926" s="13"/>
      <c r="F926" s="57"/>
    </row>
    <row r="927">
      <c r="D927" s="13"/>
      <c r="F927" s="57"/>
    </row>
    <row r="928">
      <c r="D928" s="13"/>
      <c r="F928" s="57"/>
    </row>
    <row r="929">
      <c r="D929" s="13"/>
      <c r="F929" s="57"/>
    </row>
    <row r="930">
      <c r="D930" s="13"/>
      <c r="F930" s="57"/>
    </row>
    <row r="931">
      <c r="D931" s="13"/>
      <c r="F931" s="57"/>
    </row>
    <row r="932">
      <c r="D932" s="13"/>
      <c r="F932" s="57"/>
    </row>
    <row r="933">
      <c r="D933" s="13"/>
      <c r="F933" s="57"/>
    </row>
    <row r="934">
      <c r="D934" s="13"/>
      <c r="F934" s="57"/>
    </row>
    <row r="935">
      <c r="D935" s="13"/>
      <c r="F935" s="57"/>
    </row>
    <row r="936">
      <c r="D936" s="13"/>
      <c r="F936" s="57"/>
    </row>
    <row r="937">
      <c r="D937" s="13"/>
      <c r="F937" s="57"/>
    </row>
    <row r="938">
      <c r="D938" s="13"/>
      <c r="F938" s="57"/>
    </row>
    <row r="939">
      <c r="D939" s="13"/>
      <c r="F939" s="57"/>
    </row>
    <row r="940">
      <c r="D940" s="13"/>
      <c r="F940" s="57"/>
    </row>
    <row r="941">
      <c r="D941" s="13"/>
      <c r="F941" s="57"/>
    </row>
    <row r="942">
      <c r="D942" s="13"/>
      <c r="F942" s="57"/>
    </row>
    <row r="943">
      <c r="D943" s="13"/>
      <c r="F943" s="57"/>
    </row>
    <row r="944">
      <c r="D944" s="13"/>
      <c r="F944" s="57"/>
    </row>
    <row r="945">
      <c r="D945" s="13"/>
      <c r="F945" s="57"/>
    </row>
    <row r="946">
      <c r="D946" s="13"/>
      <c r="F946" s="57"/>
    </row>
    <row r="947">
      <c r="D947" s="13"/>
      <c r="F947" s="57"/>
    </row>
    <row r="948">
      <c r="D948" s="13"/>
      <c r="F948" s="57"/>
    </row>
    <row r="949">
      <c r="D949" s="13"/>
      <c r="F949" s="57"/>
    </row>
    <row r="950">
      <c r="D950" s="13"/>
      <c r="F950" s="57"/>
    </row>
    <row r="951">
      <c r="D951" s="13"/>
      <c r="F951" s="57"/>
    </row>
    <row r="952">
      <c r="D952" s="13"/>
      <c r="F952" s="57"/>
    </row>
    <row r="953">
      <c r="D953" s="13"/>
      <c r="F953" s="57"/>
    </row>
    <row r="954">
      <c r="D954" s="13"/>
      <c r="F954" s="57"/>
    </row>
    <row r="955">
      <c r="D955" s="13"/>
      <c r="F955" s="57"/>
    </row>
    <row r="956">
      <c r="D956" s="13"/>
      <c r="F956" s="57"/>
    </row>
    <row r="957">
      <c r="D957" s="13"/>
      <c r="F957" s="57"/>
    </row>
    <row r="958">
      <c r="D958" s="13"/>
      <c r="F958" s="57"/>
    </row>
    <row r="959">
      <c r="D959" s="13"/>
      <c r="F959" s="57"/>
    </row>
    <row r="960">
      <c r="D960" s="13"/>
      <c r="F960" s="57"/>
    </row>
    <row r="961">
      <c r="D961" s="13"/>
      <c r="F961" s="57"/>
    </row>
    <row r="962">
      <c r="D962" s="13"/>
      <c r="F962" s="57"/>
    </row>
    <row r="963">
      <c r="D963" s="13"/>
      <c r="F963" s="57"/>
    </row>
    <row r="964">
      <c r="D964" s="13"/>
      <c r="F964" s="57"/>
    </row>
    <row r="965">
      <c r="D965" s="13"/>
      <c r="F965" s="57"/>
    </row>
    <row r="966">
      <c r="D966" s="13"/>
      <c r="F966" s="57"/>
    </row>
    <row r="967">
      <c r="D967" s="13"/>
      <c r="F967" s="57"/>
    </row>
    <row r="968">
      <c r="D968" s="13"/>
      <c r="F968" s="57"/>
    </row>
    <row r="969">
      <c r="D969" s="13"/>
      <c r="F969" s="57"/>
    </row>
    <row r="970">
      <c r="D970" s="13"/>
      <c r="F970" s="57"/>
    </row>
    <row r="971">
      <c r="D971" s="13"/>
      <c r="F971" s="57"/>
    </row>
    <row r="972">
      <c r="D972" s="13"/>
      <c r="F972" s="57"/>
    </row>
    <row r="973">
      <c r="D973" s="13"/>
      <c r="F973" s="57"/>
    </row>
    <row r="974">
      <c r="D974" s="13"/>
      <c r="F974" s="57"/>
    </row>
    <row r="975">
      <c r="D975" s="13"/>
      <c r="F975" s="57"/>
    </row>
    <row r="976">
      <c r="D976" s="13"/>
      <c r="F976" s="57"/>
    </row>
    <row r="977">
      <c r="D977" s="13"/>
      <c r="F977" s="57"/>
    </row>
    <row r="978">
      <c r="D978" s="13"/>
      <c r="F978" s="57"/>
    </row>
    <row r="979">
      <c r="D979" s="13"/>
      <c r="F979" s="57"/>
    </row>
    <row r="980">
      <c r="D980" s="13"/>
      <c r="F980" s="57"/>
    </row>
    <row r="981">
      <c r="D981" s="13"/>
      <c r="F981" s="57"/>
    </row>
    <row r="982">
      <c r="D982" s="13"/>
      <c r="F982" s="57"/>
    </row>
    <row r="983">
      <c r="D983" s="13"/>
      <c r="F983" s="57"/>
    </row>
    <row r="984">
      <c r="D984" s="13"/>
      <c r="F984" s="57"/>
    </row>
    <row r="985">
      <c r="D985" s="13"/>
      <c r="F985" s="57"/>
    </row>
    <row r="986">
      <c r="D986" s="13"/>
      <c r="F986" s="57"/>
    </row>
    <row r="987">
      <c r="D987" s="13"/>
      <c r="F987" s="57"/>
    </row>
    <row r="988">
      <c r="D988" s="13"/>
      <c r="F988" s="57"/>
    </row>
    <row r="989">
      <c r="D989" s="13"/>
      <c r="F989" s="57"/>
    </row>
    <row r="990">
      <c r="D990" s="13"/>
      <c r="F990" s="57"/>
    </row>
    <row r="991">
      <c r="D991" s="13"/>
      <c r="F991" s="57"/>
    </row>
    <row r="992">
      <c r="D992" s="13"/>
      <c r="F992" s="57"/>
    </row>
    <row r="993">
      <c r="D993" s="13"/>
      <c r="F993" s="57"/>
    </row>
    <row r="994">
      <c r="D994" s="13"/>
      <c r="F994" s="57"/>
    </row>
    <row r="995">
      <c r="D995" s="13"/>
      <c r="F995" s="57"/>
    </row>
    <row r="996">
      <c r="D996" s="13"/>
      <c r="F996" s="57"/>
    </row>
    <row r="997">
      <c r="D997" s="13"/>
      <c r="F997" s="57"/>
    </row>
    <row r="998">
      <c r="D998" s="13"/>
      <c r="F998" s="57"/>
    </row>
    <row r="999">
      <c r="D999" s="13"/>
      <c r="F999" s="57"/>
    </row>
    <row r="1000">
      <c r="D1000" s="13"/>
      <c r="F1000" s="57"/>
    </row>
  </sheetData>
  <customSheetViews>
    <customSheetView guid="{E30BA907-ACEB-4473-94A0-425FF8D3FF94}" filter="1" showAutoFilter="1">
      <autoFilter ref="$A$1:$F$15"/>
    </customSheetView>
    <customSheetView guid="{214BB88E-088D-4FD3-8123-4BA0BEF734A1}" filter="1" showAutoFilter="1">
      <autoFilter ref="$A$1:$F$15"/>
    </customSheetView>
    <customSheetView guid="{D9705E1F-2D5A-4760-8F0A-E6C2C054AA1D}" filter="1" showAutoFilter="1">
      <autoFilter ref="$A$1:$F$15"/>
    </customSheetView>
  </customSheetViews>
  <mergeCells count="1">
    <mergeCell ref="C25:J26"/>
  </mergeCells>
  <dataValidations>
    <dataValidation type="custom" allowBlank="1" showDropDown="1" sqref="D2:D1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4" max="4" width="18.25"/>
    <col customWidth="1" min="5" max="5" width="14.25"/>
    <col customWidth="1" min="6" max="6" width="15.88"/>
    <col customWidth="1" min="9" max="9" width="15.25"/>
  </cols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50" t="s">
        <v>6</v>
      </c>
    </row>
    <row r="2">
      <c r="A2" s="51" t="s">
        <v>25</v>
      </c>
      <c r="B2" s="1" t="s">
        <v>435</v>
      </c>
      <c r="C2" s="1" t="s">
        <v>436</v>
      </c>
      <c r="D2" s="3">
        <v>10000.0</v>
      </c>
      <c r="F2" s="14"/>
    </row>
    <row r="3">
      <c r="A3" s="1" t="s">
        <v>23</v>
      </c>
      <c r="D3" s="3"/>
      <c r="E3" s="1" t="s">
        <v>317</v>
      </c>
      <c r="F3" s="11">
        <v>2000.0</v>
      </c>
    </row>
    <row r="4">
      <c r="A4" s="1" t="s">
        <v>23</v>
      </c>
      <c r="D4" s="3"/>
      <c r="E4" s="1" t="s">
        <v>437</v>
      </c>
      <c r="F4" s="11">
        <v>2000.0</v>
      </c>
    </row>
    <row r="5">
      <c r="A5" s="1" t="s">
        <v>25</v>
      </c>
      <c r="B5" s="1" t="s">
        <v>438</v>
      </c>
      <c r="C5" s="1" t="s">
        <v>436</v>
      </c>
      <c r="D5" s="3">
        <v>50000.0</v>
      </c>
      <c r="F5" s="14"/>
    </row>
    <row r="6">
      <c r="A6" s="1" t="s">
        <v>25</v>
      </c>
      <c r="B6" s="1" t="s">
        <v>438</v>
      </c>
      <c r="C6" s="1" t="s">
        <v>436</v>
      </c>
      <c r="D6" s="3">
        <v>50000.0</v>
      </c>
      <c r="F6" s="14"/>
    </row>
    <row r="7">
      <c r="A7" s="1" t="s">
        <v>23</v>
      </c>
      <c r="D7" s="3"/>
      <c r="E7" s="1" t="s">
        <v>439</v>
      </c>
      <c r="F7" s="11">
        <v>25000.0</v>
      </c>
    </row>
    <row r="8">
      <c r="A8" s="1" t="s">
        <v>23</v>
      </c>
      <c r="D8" s="3"/>
      <c r="E8" s="1" t="s">
        <v>172</v>
      </c>
      <c r="F8" s="11">
        <v>2000.0</v>
      </c>
    </row>
    <row r="9">
      <c r="A9" s="1" t="s">
        <v>23</v>
      </c>
      <c r="D9" s="3"/>
      <c r="E9" s="1" t="s">
        <v>217</v>
      </c>
      <c r="F9" s="11">
        <v>27000.0</v>
      </c>
    </row>
    <row r="10">
      <c r="A10" s="1" t="s">
        <v>23</v>
      </c>
      <c r="D10" s="3"/>
      <c r="E10" s="1" t="s">
        <v>229</v>
      </c>
      <c r="F10" s="11">
        <v>25000.0</v>
      </c>
    </row>
    <row r="11">
      <c r="A11" s="1" t="s">
        <v>25</v>
      </c>
      <c r="B11" s="1" t="s">
        <v>440</v>
      </c>
      <c r="C11" s="1" t="s">
        <v>441</v>
      </c>
      <c r="D11" s="3">
        <v>98000.0</v>
      </c>
      <c r="E11" s="1"/>
      <c r="F11" s="11"/>
    </row>
    <row r="12">
      <c r="A12" s="1" t="s">
        <v>23</v>
      </c>
      <c r="D12" s="13"/>
      <c r="E12" s="1" t="s">
        <v>440</v>
      </c>
      <c r="F12" s="11">
        <v>2000.0</v>
      </c>
    </row>
    <row r="13">
      <c r="A13" s="1" t="s">
        <v>23</v>
      </c>
      <c r="D13" s="13"/>
      <c r="E13" s="1" t="s">
        <v>135</v>
      </c>
      <c r="F13" s="11">
        <v>47000.0</v>
      </c>
    </row>
    <row r="14">
      <c r="A14" s="1" t="s">
        <v>442</v>
      </c>
      <c r="D14" s="13"/>
      <c r="E14" s="1" t="s">
        <v>291</v>
      </c>
      <c r="F14" s="11">
        <v>1000.0</v>
      </c>
    </row>
    <row r="15">
      <c r="A15" s="1" t="s">
        <v>23</v>
      </c>
      <c r="D15" s="13"/>
      <c r="E15" s="1" t="s">
        <v>406</v>
      </c>
      <c r="F15" s="11">
        <v>47000.0</v>
      </c>
    </row>
    <row r="16">
      <c r="A16" s="1" t="s">
        <v>25</v>
      </c>
      <c r="B16" s="1" t="s">
        <v>305</v>
      </c>
      <c r="C16" s="1" t="s">
        <v>441</v>
      </c>
      <c r="D16" s="130">
        <v>1000.0</v>
      </c>
      <c r="F16" s="11"/>
    </row>
    <row r="17">
      <c r="A17" s="1" t="s">
        <v>25</v>
      </c>
      <c r="B17" s="1" t="s">
        <v>305</v>
      </c>
      <c r="C17" s="1" t="s">
        <v>441</v>
      </c>
      <c r="D17" s="130">
        <v>49000.0</v>
      </c>
      <c r="F17" s="11"/>
    </row>
    <row r="18">
      <c r="A18" s="1" t="s">
        <v>25</v>
      </c>
      <c r="B18" s="1" t="s">
        <v>305</v>
      </c>
      <c r="C18" s="1" t="s">
        <v>441</v>
      </c>
      <c r="D18" s="130">
        <v>50000.0</v>
      </c>
      <c r="F18" s="11"/>
    </row>
    <row r="19">
      <c r="A19" s="1" t="s">
        <v>25</v>
      </c>
      <c r="B19" s="1" t="s">
        <v>398</v>
      </c>
      <c r="C19" s="1" t="s">
        <v>441</v>
      </c>
      <c r="D19" s="3">
        <v>300000.0</v>
      </c>
      <c r="F19" s="11"/>
    </row>
    <row r="20">
      <c r="D20" s="13"/>
      <c r="E20" s="1" t="s">
        <v>237</v>
      </c>
      <c r="F20" s="11">
        <f>112000-5000</f>
        <v>107000</v>
      </c>
    </row>
    <row r="21">
      <c r="D21" s="13"/>
      <c r="E21" s="1" t="s">
        <v>443</v>
      </c>
      <c r="F21" s="11">
        <v>25000.0</v>
      </c>
    </row>
    <row r="22">
      <c r="D22" s="13"/>
      <c r="E22" s="1" t="s">
        <v>444</v>
      </c>
      <c r="F22" s="11">
        <v>25000.0</v>
      </c>
    </row>
    <row r="23">
      <c r="D23" s="13"/>
      <c r="E23" s="1" t="s">
        <v>445</v>
      </c>
      <c r="F23" s="11">
        <v>77000.0</v>
      </c>
    </row>
    <row r="24">
      <c r="D24" s="13"/>
      <c r="E24" s="1" t="s">
        <v>224</v>
      </c>
      <c r="F24" s="11">
        <v>50000.0</v>
      </c>
    </row>
    <row r="25">
      <c r="D25" s="13"/>
      <c r="E25" s="1" t="s">
        <v>159</v>
      </c>
      <c r="F25" s="11">
        <v>20000.0</v>
      </c>
    </row>
    <row r="26">
      <c r="D26" s="13"/>
      <c r="F26" s="14"/>
    </row>
    <row r="27">
      <c r="D27" s="13"/>
      <c r="F27" s="14"/>
      <c r="J27" s="58">
        <v>0.03</v>
      </c>
    </row>
    <row r="28">
      <c r="D28" s="13"/>
      <c r="F28" s="14"/>
      <c r="H28" s="15" t="s">
        <v>26</v>
      </c>
      <c r="J28" s="16" t="s">
        <v>157</v>
      </c>
    </row>
    <row r="29">
      <c r="D29" s="13">
        <f>SUM(D2:D26)</f>
        <v>608000</v>
      </c>
      <c r="F29" s="14">
        <f>SUM(F2:F26)</f>
        <v>484000</v>
      </c>
      <c r="H29" s="18">
        <f>F29/D29</f>
        <v>0.7960526316</v>
      </c>
      <c r="J29" s="59">
        <f>(D29)*3/100</f>
        <v>18240</v>
      </c>
      <c r="K29" s="1" t="s">
        <v>249</v>
      </c>
    </row>
    <row r="30">
      <c r="D30" s="13"/>
      <c r="F30" s="14"/>
      <c r="J30" s="59">
        <f t="shared" ref="J30:J31" si="1">J29</f>
        <v>18240</v>
      </c>
      <c r="K30" s="1" t="s">
        <v>252</v>
      </c>
    </row>
    <row r="31">
      <c r="D31" s="13"/>
      <c r="F31" s="14"/>
      <c r="J31" s="59">
        <f t="shared" si="1"/>
        <v>18240</v>
      </c>
      <c r="K31" s="1" t="s">
        <v>254</v>
      </c>
    </row>
    <row r="32">
      <c r="D32" s="13"/>
      <c r="F32" s="14"/>
    </row>
    <row r="33">
      <c r="D33" s="13"/>
      <c r="F33" s="14"/>
    </row>
    <row r="34">
      <c r="D34" s="13"/>
      <c r="F34" s="14"/>
    </row>
    <row r="35">
      <c r="C35" s="22" t="s">
        <v>41</v>
      </c>
      <c r="D35" s="23"/>
      <c r="E35" s="23"/>
      <c r="F35" s="23"/>
      <c r="G35" s="23"/>
      <c r="H35" s="23"/>
      <c r="I35" s="23"/>
      <c r="J35" s="24"/>
    </row>
    <row r="36">
      <c r="C36" s="27"/>
      <c r="D36" s="28"/>
      <c r="E36" s="28"/>
      <c r="F36" s="28"/>
      <c r="G36" s="28"/>
      <c r="H36" s="28"/>
      <c r="I36" s="28"/>
      <c r="J36" s="29"/>
    </row>
    <row r="37">
      <c r="C37" s="32"/>
      <c r="D37" s="32" t="s">
        <v>49</v>
      </c>
      <c r="E37" s="32" t="s">
        <v>51</v>
      </c>
      <c r="F37" s="34" t="s">
        <v>52</v>
      </c>
      <c r="G37" s="32"/>
      <c r="H37" s="32" t="s">
        <v>54</v>
      </c>
      <c r="I37" s="32" t="s">
        <v>56</v>
      </c>
      <c r="J37" s="32" t="s">
        <v>57</v>
      </c>
    </row>
    <row r="38">
      <c r="C38" s="1" t="s">
        <v>59</v>
      </c>
      <c r="D38" s="11">
        <v>10000.0</v>
      </c>
      <c r="E38" s="1">
        <v>12.0</v>
      </c>
      <c r="F38" s="11">
        <v>10.0</v>
      </c>
      <c r="H38" s="17">
        <f t="shared" ref="H38:H40" si="2">D38*E38/100</f>
        <v>1200</v>
      </c>
      <c r="I38" s="17">
        <f t="shared" ref="I38:I40" si="3">H38*F38</f>
        <v>12000</v>
      </c>
      <c r="J38" s="14">
        <f t="shared" ref="J38:J40" si="4">D38+I38</f>
        <v>22000</v>
      </c>
    </row>
    <row r="39">
      <c r="C39" s="1" t="s">
        <v>111</v>
      </c>
      <c r="D39" s="11">
        <v>100000.0</v>
      </c>
      <c r="E39" s="1">
        <v>9.0</v>
      </c>
      <c r="F39" s="11">
        <v>9.0</v>
      </c>
      <c r="H39" s="17">
        <f t="shared" si="2"/>
        <v>9000</v>
      </c>
      <c r="I39" s="17">
        <f t="shared" si="3"/>
        <v>81000</v>
      </c>
      <c r="J39" s="14">
        <f t="shared" si="4"/>
        <v>181000</v>
      </c>
    </row>
    <row r="40">
      <c r="C40" s="1" t="s">
        <v>113</v>
      </c>
      <c r="D40" s="11">
        <v>400000.0</v>
      </c>
      <c r="E40" s="1">
        <v>5.0</v>
      </c>
      <c r="F40" s="11">
        <v>5.0</v>
      </c>
      <c r="H40" s="17">
        <f t="shared" si="2"/>
        <v>20000</v>
      </c>
      <c r="I40" s="17">
        <f t="shared" si="3"/>
        <v>100000</v>
      </c>
      <c r="J40" s="14">
        <f t="shared" si="4"/>
        <v>500000</v>
      </c>
    </row>
    <row r="41">
      <c r="D41" s="14"/>
      <c r="F41" s="14"/>
    </row>
    <row r="42">
      <c r="D42" s="14"/>
      <c r="F42" s="14"/>
      <c r="J42" s="19">
        <f>SUM(J38:J40)</f>
        <v>703000</v>
      </c>
    </row>
    <row r="43">
      <c r="D43" s="14"/>
      <c r="F43" s="14"/>
    </row>
    <row r="44">
      <c r="F44" s="14"/>
      <c r="H44" s="39" t="s">
        <v>62</v>
      </c>
      <c r="J44" s="19">
        <f>F29</f>
        <v>484000</v>
      </c>
    </row>
    <row r="45">
      <c r="F45" s="14"/>
    </row>
    <row r="46">
      <c r="F46" s="14"/>
      <c r="H46" s="39" t="s">
        <v>72</v>
      </c>
      <c r="J46" s="60">
        <f>J42-J44</f>
        <v>219000</v>
      </c>
      <c r="L46" s="47" t="s">
        <v>69</v>
      </c>
    </row>
    <row r="47">
      <c r="F47" s="14"/>
      <c r="L47" s="12">
        <f>J46/3</f>
        <v>73000</v>
      </c>
      <c r="M47" s="15" t="s">
        <v>79</v>
      </c>
    </row>
    <row r="48">
      <c r="D48" s="14"/>
      <c r="F48" s="14"/>
      <c r="L48" s="12">
        <f t="shared" ref="L48:L49" si="5">L47</f>
        <v>73000</v>
      </c>
      <c r="M48" s="15" t="s">
        <v>82</v>
      </c>
    </row>
    <row r="49">
      <c r="D49" s="14"/>
      <c r="F49" s="14"/>
      <c r="L49" s="12">
        <f t="shared" si="5"/>
        <v>73000</v>
      </c>
      <c r="M49" s="15" t="s">
        <v>84</v>
      </c>
    </row>
    <row r="50">
      <c r="D50" s="14"/>
      <c r="F50" s="14"/>
    </row>
    <row r="51">
      <c r="D51" s="14"/>
      <c r="F51" s="14"/>
    </row>
    <row r="52">
      <c r="F52" s="14"/>
    </row>
    <row r="53">
      <c r="F53" s="14"/>
    </row>
    <row r="54">
      <c r="F54" s="14"/>
    </row>
    <row r="55">
      <c r="F55" s="14"/>
    </row>
    <row r="56">
      <c r="F56" s="14"/>
    </row>
    <row r="57">
      <c r="F57" s="14"/>
    </row>
    <row r="58">
      <c r="F58" s="14"/>
    </row>
    <row r="59">
      <c r="F59" s="14"/>
    </row>
    <row r="60">
      <c r="F60" s="14"/>
    </row>
    <row r="61">
      <c r="F61" s="14"/>
    </row>
    <row r="62">
      <c r="F62" s="14"/>
    </row>
    <row r="63">
      <c r="F63" s="14"/>
    </row>
    <row r="64">
      <c r="F64" s="14"/>
    </row>
    <row r="65">
      <c r="F65" s="14"/>
    </row>
    <row r="66">
      <c r="F66" s="14"/>
    </row>
    <row r="67">
      <c r="F67" s="14"/>
    </row>
    <row r="68"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  <row r="1001">
      <c r="F1001" s="14"/>
    </row>
    <row r="1002">
      <c r="F1002" s="14"/>
    </row>
    <row r="1003">
      <c r="F1003" s="14"/>
    </row>
    <row r="1004">
      <c r="F1004" s="14"/>
    </row>
    <row r="1005">
      <c r="F1005" s="14"/>
    </row>
    <row r="1006">
      <c r="F1006" s="14"/>
    </row>
    <row r="1007">
      <c r="F1007" s="14"/>
    </row>
    <row r="1008">
      <c r="F1008" s="14"/>
    </row>
    <row r="1009">
      <c r="F1009" s="14"/>
    </row>
    <row r="1010">
      <c r="F1010" s="14"/>
    </row>
  </sheetData>
  <mergeCells count="1">
    <mergeCell ref="C35:J36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4" max="4" width="18.25"/>
    <col customWidth="1" min="5" max="5" width="14.25"/>
    <col customWidth="1" min="6" max="6" width="15.88"/>
    <col customWidth="1" min="9" max="9" width="15.25"/>
  </cols>
  <sheetData>
    <row r="1">
      <c r="A1" s="48" t="s">
        <v>0</v>
      </c>
      <c r="B1" s="48" t="s">
        <v>2</v>
      </c>
      <c r="C1" s="49" t="s">
        <v>114</v>
      </c>
      <c r="D1" s="49" t="s">
        <v>4</v>
      </c>
      <c r="E1" s="48" t="s">
        <v>5</v>
      </c>
      <c r="F1" s="50" t="s">
        <v>6</v>
      </c>
    </row>
    <row r="2">
      <c r="A2" s="51" t="s">
        <v>25</v>
      </c>
      <c r="D2" s="3">
        <v>100000.0</v>
      </c>
      <c r="F2" s="14"/>
    </row>
    <row r="3">
      <c r="A3" s="1"/>
      <c r="B3" s="1" t="s">
        <v>221</v>
      </c>
      <c r="D3" s="3">
        <v>50000.0</v>
      </c>
      <c r="E3" s="1"/>
      <c r="F3" s="11"/>
    </row>
    <row r="4">
      <c r="A4" s="1"/>
      <c r="B4" s="1" t="s">
        <v>446</v>
      </c>
      <c r="D4" s="3">
        <v>25000.0</v>
      </c>
      <c r="E4" s="1"/>
      <c r="F4" s="11"/>
    </row>
    <row r="5">
      <c r="A5" s="1" t="s">
        <v>23</v>
      </c>
      <c r="D5" s="3"/>
      <c r="E5" s="1" t="s">
        <v>316</v>
      </c>
      <c r="F5" s="11">
        <v>30000.0</v>
      </c>
    </row>
    <row r="6">
      <c r="A6" s="1" t="s">
        <v>23</v>
      </c>
      <c r="D6" s="3"/>
      <c r="E6" s="1" t="s">
        <v>447</v>
      </c>
      <c r="F6" s="11">
        <v>10000.0</v>
      </c>
    </row>
    <row r="7">
      <c r="A7" s="1" t="s">
        <v>23</v>
      </c>
      <c r="D7" s="3"/>
      <c r="E7" s="1" t="s">
        <v>448</v>
      </c>
      <c r="F7" s="11">
        <v>10000.0</v>
      </c>
    </row>
    <row r="8">
      <c r="A8" s="1" t="s">
        <v>23</v>
      </c>
      <c r="D8" s="3"/>
      <c r="E8" s="1" t="s">
        <v>449</v>
      </c>
      <c r="F8" s="11">
        <v>20000.0</v>
      </c>
    </row>
    <row r="9">
      <c r="A9" s="1" t="s">
        <v>23</v>
      </c>
      <c r="D9" s="3"/>
      <c r="E9" s="1" t="s">
        <v>450</v>
      </c>
      <c r="F9" s="11">
        <v>20000.0</v>
      </c>
    </row>
    <row r="10">
      <c r="A10" s="1" t="s">
        <v>23</v>
      </c>
      <c r="D10" s="3"/>
      <c r="E10" s="1" t="s">
        <v>451</v>
      </c>
      <c r="F10" s="11">
        <v>20000.0</v>
      </c>
    </row>
    <row r="11">
      <c r="A11" s="1" t="s">
        <v>23</v>
      </c>
      <c r="D11" s="3"/>
      <c r="E11" s="1" t="s">
        <v>452</v>
      </c>
      <c r="F11" s="11">
        <v>20000.0</v>
      </c>
    </row>
    <row r="12">
      <c r="A12" s="1" t="s">
        <v>23</v>
      </c>
      <c r="D12" s="3"/>
      <c r="E12" s="1" t="s">
        <v>412</v>
      </c>
      <c r="F12" s="11">
        <v>32000.0</v>
      </c>
    </row>
    <row r="13">
      <c r="A13" s="1" t="s">
        <v>23</v>
      </c>
      <c r="D13" s="3"/>
      <c r="E13" s="1" t="s">
        <v>423</v>
      </c>
      <c r="F13" s="11">
        <v>20000.0</v>
      </c>
    </row>
    <row r="14">
      <c r="A14" s="1" t="s">
        <v>23</v>
      </c>
      <c r="D14" s="13"/>
      <c r="E14" s="1" t="s">
        <v>397</v>
      </c>
      <c r="F14" s="11">
        <v>5000.0</v>
      </c>
    </row>
    <row r="15">
      <c r="A15" s="1" t="s">
        <v>23</v>
      </c>
      <c r="D15" s="13"/>
      <c r="E15" s="1" t="s">
        <v>453</v>
      </c>
      <c r="F15" s="11">
        <v>70000.0</v>
      </c>
    </row>
    <row r="16">
      <c r="A16" s="1" t="s">
        <v>23</v>
      </c>
      <c r="D16" s="13"/>
      <c r="E16" s="1" t="s">
        <v>454</v>
      </c>
      <c r="F16" s="11">
        <v>49000.0</v>
      </c>
    </row>
    <row r="17">
      <c r="A17" s="1" t="s">
        <v>23</v>
      </c>
      <c r="D17" s="13"/>
      <c r="E17" s="1" t="s">
        <v>455</v>
      </c>
      <c r="F17" s="11">
        <v>21000.0</v>
      </c>
    </row>
    <row r="18">
      <c r="A18" s="1" t="s">
        <v>23</v>
      </c>
      <c r="D18" s="130"/>
      <c r="E18" s="1" t="s">
        <v>456</v>
      </c>
      <c r="F18" s="11">
        <v>70000.0</v>
      </c>
    </row>
    <row r="19">
      <c r="A19" s="1" t="s">
        <v>23</v>
      </c>
      <c r="D19" s="130"/>
      <c r="E19" s="1" t="s">
        <v>224</v>
      </c>
      <c r="F19" s="11">
        <v>25000.0</v>
      </c>
    </row>
    <row r="20">
      <c r="A20" s="1" t="s">
        <v>23</v>
      </c>
      <c r="D20" s="130"/>
      <c r="E20" s="1" t="s">
        <v>457</v>
      </c>
      <c r="F20" s="11">
        <v>20000.0</v>
      </c>
    </row>
    <row r="21">
      <c r="A21" s="1" t="s">
        <v>23</v>
      </c>
      <c r="D21" s="3"/>
      <c r="E21" s="1" t="s">
        <v>458</v>
      </c>
      <c r="F21" s="11">
        <v>25000.0</v>
      </c>
    </row>
    <row r="22">
      <c r="D22" s="13"/>
      <c r="E22" s="1" t="s">
        <v>459</v>
      </c>
      <c r="F22" s="11">
        <v>25000.0</v>
      </c>
    </row>
    <row r="23">
      <c r="D23" s="13"/>
      <c r="F23" s="11"/>
    </row>
    <row r="24">
      <c r="D24" s="13"/>
      <c r="F24" s="11"/>
    </row>
    <row r="25">
      <c r="D25" s="13"/>
      <c r="F25" s="11"/>
    </row>
    <row r="26">
      <c r="D26" s="13"/>
      <c r="F26" s="11"/>
    </row>
    <row r="27">
      <c r="D27" s="13"/>
      <c r="F27" s="11"/>
    </row>
    <row r="28">
      <c r="D28" s="13"/>
      <c r="F28" s="14"/>
    </row>
    <row r="29">
      <c r="D29" s="13"/>
      <c r="F29" s="14"/>
      <c r="J29" s="58">
        <v>0.03</v>
      </c>
    </row>
    <row r="30">
      <c r="D30" s="13"/>
      <c r="F30" s="14"/>
      <c r="H30" s="15" t="s">
        <v>26</v>
      </c>
      <c r="J30" s="16" t="s">
        <v>157</v>
      </c>
    </row>
    <row r="31">
      <c r="D31" s="13">
        <f>SUM(D2:D28)</f>
        <v>175000</v>
      </c>
      <c r="F31" s="14">
        <f>SUM(F2:F28)</f>
        <v>492000</v>
      </c>
      <c r="H31" s="18">
        <f>F31/D31</f>
        <v>2.811428571</v>
      </c>
      <c r="J31" s="59">
        <f>(D31)*3/100</f>
        <v>5250</v>
      </c>
      <c r="K31" s="1" t="s">
        <v>249</v>
      </c>
    </row>
    <row r="32">
      <c r="D32" s="13"/>
      <c r="F32" s="14"/>
      <c r="J32" s="59">
        <f t="shared" ref="J32:J33" si="1">J31</f>
        <v>5250</v>
      </c>
      <c r="K32" s="1" t="s">
        <v>252</v>
      </c>
    </row>
    <row r="33">
      <c r="D33" s="13"/>
      <c r="F33" s="14"/>
      <c r="J33" s="59">
        <f t="shared" si="1"/>
        <v>5250</v>
      </c>
      <c r="K33" s="1" t="s">
        <v>254</v>
      </c>
    </row>
    <row r="34">
      <c r="D34" s="13"/>
      <c r="F34" s="14"/>
    </row>
    <row r="35">
      <c r="D35" s="13"/>
      <c r="F35" s="14"/>
    </row>
    <row r="36">
      <c r="D36" s="13"/>
      <c r="F36" s="14"/>
    </row>
    <row r="37">
      <c r="C37" s="22" t="s">
        <v>41</v>
      </c>
      <c r="D37" s="23"/>
      <c r="E37" s="23"/>
      <c r="F37" s="23"/>
      <c r="G37" s="23"/>
      <c r="H37" s="23"/>
      <c r="I37" s="23"/>
      <c r="J37" s="24"/>
    </row>
    <row r="38">
      <c r="C38" s="27"/>
      <c r="D38" s="28"/>
      <c r="E38" s="28"/>
      <c r="F38" s="28"/>
      <c r="G38" s="28"/>
      <c r="H38" s="28"/>
      <c r="I38" s="28"/>
      <c r="J38" s="29"/>
    </row>
    <row r="39">
      <c r="C39" s="32"/>
      <c r="D39" s="32" t="s">
        <v>49</v>
      </c>
      <c r="E39" s="32" t="s">
        <v>51</v>
      </c>
      <c r="F39" s="34" t="s">
        <v>52</v>
      </c>
      <c r="G39" s="32"/>
      <c r="H39" s="32" t="s">
        <v>54</v>
      </c>
      <c r="I39" s="32" t="s">
        <v>56</v>
      </c>
      <c r="J39" s="32" t="s">
        <v>57</v>
      </c>
    </row>
    <row r="40">
      <c r="C40" s="1" t="s">
        <v>59</v>
      </c>
      <c r="D40" s="11">
        <v>10000.0</v>
      </c>
      <c r="E40" s="1">
        <v>12.0</v>
      </c>
      <c r="F40" s="11">
        <v>10.0</v>
      </c>
      <c r="H40" s="17">
        <f t="shared" ref="H40:H42" si="2">D40*E40/100</f>
        <v>1200</v>
      </c>
      <c r="I40" s="17">
        <f t="shared" ref="I40:I42" si="3">H40*F40</f>
        <v>12000</v>
      </c>
      <c r="J40" s="14">
        <f t="shared" ref="J40:J42" si="4">D40+I40</f>
        <v>22000</v>
      </c>
    </row>
    <row r="41">
      <c r="C41" s="1" t="s">
        <v>111</v>
      </c>
      <c r="D41" s="11">
        <v>100000.0</v>
      </c>
      <c r="E41" s="1">
        <v>9.0</v>
      </c>
      <c r="F41" s="11">
        <v>9.0</v>
      </c>
      <c r="H41" s="17">
        <f t="shared" si="2"/>
        <v>9000</v>
      </c>
      <c r="I41" s="17">
        <f t="shared" si="3"/>
        <v>81000</v>
      </c>
      <c r="J41" s="14">
        <f t="shared" si="4"/>
        <v>181000</v>
      </c>
    </row>
    <row r="42">
      <c r="C42" s="1" t="s">
        <v>113</v>
      </c>
      <c r="D42" s="11">
        <v>400000.0</v>
      </c>
      <c r="E42" s="1">
        <v>5.0</v>
      </c>
      <c r="F42" s="11">
        <v>5.0</v>
      </c>
      <c r="H42" s="17">
        <f t="shared" si="2"/>
        <v>20000</v>
      </c>
      <c r="I42" s="17">
        <f t="shared" si="3"/>
        <v>100000</v>
      </c>
      <c r="J42" s="14">
        <f t="shared" si="4"/>
        <v>500000</v>
      </c>
    </row>
    <row r="43">
      <c r="D43" s="14"/>
      <c r="F43" s="14"/>
    </row>
    <row r="44">
      <c r="D44" s="14"/>
      <c r="F44" s="14"/>
      <c r="J44" s="19">
        <f>SUM(J40:J42)</f>
        <v>703000</v>
      </c>
    </row>
    <row r="45">
      <c r="D45" s="14"/>
      <c r="F45" s="14"/>
    </row>
    <row r="46">
      <c r="F46" s="14"/>
      <c r="H46" s="39" t="s">
        <v>62</v>
      </c>
      <c r="J46" s="19">
        <f>F31</f>
        <v>492000</v>
      </c>
    </row>
    <row r="47">
      <c r="F47" s="14"/>
    </row>
    <row r="48">
      <c r="F48" s="14"/>
      <c r="H48" s="39" t="s">
        <v>72</v>
      </c>
      <c r="J48" s="60">
        <f>J44-J46</f>
        <v>211000</v>
      </c>
      <c r="L48" s="47" t="s">
        <v>69</v>
      </c>
    </row>
    <row r="49">
      <c r="F49" s="14"/>
      <c r="L49" s="12">
        <f>J48/3</f>
        <v>70333.33333</v>
      </c>
      <c r="M49" s="15" t="s">
        <v>79</v>
      </c>
    </row>
    <row r="50">
      <c r="D50" s="14"/>
      <c r="F50" s="14"/>
      <c r="L50" s="12">
        <f t="shared" ref="L50:L51" si="5">L49</f>
        <v>70333.33333</v>
      </c>
      <c r="M50" s="15" t="s">
        <v>82</v>
      </c>
    </row>
    <row r="51">
      <c r="D51" s="14"/>
      <c r="F51" s="14"/>
      <c r="L51" s="12">
        <f t="shared" si="5"/>
        <v>70333.33333</v>
      </c>
      <c r="M51" s="15" t="s">
        <v>84</v>
      </c>
    </row>
    <row r="52">
      <c r="D52" s="14"/>
      <c r="F52" s="14"/>
    </row>
    <row r="53">
      <c r="D53" s="14"/>
      <c r="F53" s="14"/>
    </row>
    <row r="54">
      <c r="F54" s="14"/>
    </row>
    <row r="55">
      <c r="F55" s="14"/>
    </row>
    <row r="56">
      <c r="F56" s="14"/>
    </row>
    <row r="57">
      <c r="F57" s="14"/>
    </row>
    <row r="58">
      <c r="F58" s="14"/>
    </row>
    <row r="59">
      <c r="F59" s="14"/>
    </row>
    <row r="60">
      <c r="F60" s="14"/>
    </row>
    <row r="61">
      <c r="F61" s="14"/>
    </row>
    <row r="62">
      <c r="F62" s="14"/>
    </row>
    <row r="63">
      <c r="F63" s="14"/>
    </row>
    <row r="64">
      <c r="F64" s="14"/>
    </row>
    <row r="65">
      <c r="F65" s="14"/>
    </row>
    <row r="66">
      <c r="F66" s="14"/>
    </row>
    <row r="67">
      <c r="F67" s="14"/>
    </row>
    <row r="68"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  <row r="1001">
      <c r="F1001" s="14"/>
    </row>
    <row r="1002">
      <c r="F1002" s="14"/>
    </row>
    <row r="1003">
      <c r="F1003" s="14"/>
    </row>
    <row r="1004">
      <c r="F1004" s="14"/>
    </row>
    <row r="1005">
      <c r="F1005" s="14"/>
    </row>
    <row r="1006">
      <c r="F1006" s="14"/>
    </row>
    <row r="1007">
      <c r="F1007" s="14"/>
    </row>
    <row r="1008">
      <c r="F1008" s="14"/>
    </row>
    <row r="1009">
      <c r="F1009" s="14"/>
    </row>
    <row r="1010">
      <c r="F1010" s="14"/>
    </row>
    <row r="1011">
      <c r="F1011" s="14"/>
    </row>
    <row r="1012">
      <c r="F1012" s="14"/>
    </row>
  </sheetData>
  <mergeCells count="1">
    <mergeCell ref="C37:J38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58.63"/>
    <col customWidth="1" min="4" max="4" width="18.25"/>
    <col customWidth="1" min="5" max="5" width="14.25"/>
    <col customWidth="1" min="6" max="6" width="15.88"/>
    <col customWidth="1" min="7" max="7" width="16.25"/>
    <col customWidth="1" min="8" max="8" width="13.5"/>
    <col customWidth="1" min="9" max="9" width="17.63"/>
    <col customWidth="1" min="10" max="10" width="31.3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2</v>
      </c>
      <c r="C1" s="49" t="s">
        <v>3</v>
      </c>
      <c r="D1" s="50" t="s">
        <v>4</v>
      </c>
      <c r="E1" s="48" t="s">
        <v>5</v>
      </c>
      <c r="F1" s="91" t="s">
        <v>6</v>
      </c>
      <c r="J1" s="15" t="s">
        <v>207</v>
      </c>
    </row>
    <row r="2">
      <c r="A2" s="1" t="s">
        <v>25</v>
      </c>
      <c r="B2" s="1" t="s">
        <v>460</v>
      </c>
      <c r="C2" s="15" t="s">
        <v>461</v>
      </c>
      <c r="D2" s="11">
        <v>25000.0</v>
      </c>
      <c r="F2" s="40"/>
      <c r="J2" s="94">
        <v>0.18</v>
      </c>
      <c r="L2" s="17">
        <f t="shared" ref="L2:L3" si="1">D2*J2</f>
        <v>4500</v>
      </c>
    </row>
    <row r="3">
      <c r="A3" s="1" t="s">
        <v>25</v>
      </c>
      <c r="B3" s="1" t="s">
        <v>462</v>
      </c>
      <c r="C3" s="15" t="s">
        <v>461</v>
      </c>
      <c r="D3" s="11">
        <v>25000.0</v>
      </c>
      <c r="J3" s="94">
        <v>0.16</v>
      </c>
      <c r="L3" s="17">
        <f t="shared" si="1"/>
        <v>4000</v>
      </c>
    </row>
    <row r="4">
      <c r="A4" s="15" t="s">
        <v>23</v>
      </c>
      <c r="B4" s="20"/>
      <c r="C4" s="20"/>
      <c r="D4" s="53"/>
      <c r="E4" s="15" t="s">
        <v>463</v>
      </c>
      <c r="F4" s="15">
        <v>4500.0</v>
      </c>
      <c r="G4" s="7">
        <v>0.18</v>
      </c>
    </row>
    <row r="5">
      <c r="A5" s="15" t="s">
        <v>23</v>
      </c>
      <c r="B5" s="20"/>
      <c r="C5" s="20"/>
      <c r="D5" s="19"/>
      <c r="E5" s="15" t="s">
        <v>464</v>
      </c>
      <c r="F5" s="15">
        <v>6500.0</v>
      </c>
      <c r="G5" s="7">
        <v>0.13</v>
      </c>
    </row>
    <row r="6">
      <c r="A6" s="15" t="s">
        <v>23</v>
      </c>
      <c r="D6" s="14"/>
      <c r="E6" s="1" t="s">
        <v>465</v>
      </c>
      <c r="F6" s="1">
        <v>780.0</v>
      </c>
      <c r="G6" s="7">
        <v>0.02</v>
      </c>
    </row>
    <row r="7">
      <c r="A7" s="15" t="s">
        <v>23</v>
      </c>
      <c r="D7" s="14"/>
      <c r="E7" s="1" t="s">
        <v>466</v>
      </c>
      <c r="F7" s="1">
        <v>4000.0</v>
      </c>
      <c r="G7" s="7">
        <v>0.16</v>
      </c>
    </row>
    <row r="8">
      <c r="A8" s="15" t="s">
        <v>23</v>
      </c>
      <c r="D8" s="14"/>
      <c r="E8" s="1" t="s">
        <v>467</v>
      </c>
      <c r="F8" s="1">
        <v>4500.0</v>
      </c>
      <c r="G8" s="7">
        <v>0.18</v>
      </c>
    </row>
    <row r="9">
      <c r="A9" s="15" t="s">
        <v>23</v>
      </c>
      <c r="D9" s="11"/>
      <c r="E9" s="1" t="s">
        <v>468</v>
      </c>
      <c r="F9" s="1">
        <v>8500.0</v>
      </c>
      <c r="G9" s="7">
        <v>0.17</v>
      </c>
    </row>
    <row r="10">
      <c r="A10" s="15" t="s">
        <v>23</v>
      </c>
      <c r="D10" s="11"/>
      <c r="E10" s="1" t="s">
        <v>469</v>
      </c>
      <c r="F10" s="1">
        <v>4500.0</v>
      </c>
      <c r="G10" s="7">
        <v>0.18</v>
      </c>
    </row>
    <row r="11">
      <c r="A11" s="15" t="s">
        <v>23</v>
      </c>
      <c r="D11" s="14"/>
      <c r="E11" s="1" t="s">
        <v>470</v>
      </c>
      <c r="F11" s="1">
        <v>4000.0</v>
      </c>
      <c r="G11" s="7">
        <v>0.17</v>
      </c>
    </row>
    <row r="12">
      <c r="A12" s="1" t="s">
        <v>306</v>
      </c>
      <c r="B12" s="1" t="s">
        <v>471</v>
      </c>
      <c r="C12" s="15" t="s">
        <v>461</v>
      </c>
      <c r="D12" s="11">
        <v>25000.0</v>
      </c>
      <c r="G12" s="15" t="s">
        <v>472</v>
      </c>
      <c r="H12" s="1" t="s">
        <v>473</v>
      </c>
      <c r="J12" s="59" t="s">
        <v>474</v>
      </c>
    </row>
    <row r="13">
      <c r="D13" s="14"/>
      <c r="G13" s="18"/>
      <c r="J13" s="59"/>
    </row>
    <row r="14">
      <c r="D14" s="14">
        <f>SUM(D2:D12)</f>
        <v>75000</v>
      </c>
      <c r="F14" s="40">
        <f>SUM(F2:F11)</f>
        <v>37280</v>
      </c>
      <c r="G14" s="18">
        <f>F14/D14</f>
        <v>0.4970666667</v>
      </c>
      <c r="H14" s="14">
        <f>D14-F14</f>
        <v>37720</v>
      </c>
      <c r="J14" s="59">
        <f>H14*2/100</f>
        <v>754.4</v>
      </c>
      <c r="L14" s="17">
        <f>SUM(L2:L11)</f>
        <v>8500</v>
      </c>
    </row>
    <row r="15">
      <c r="D15" s="14"/>
      <c r="J15" s="59"/>
    </row>
    <row r="16">
      <c r="D16" s="14"/>
      <c r="J16" s="59"/>
    </row>
    <row r="17">
      <c r="D17" s="14"/>
    </row>
    <row r="18">
      <c r="D18" s="14"/>
    </row>
    <row r="19">
      <c r="D19" s="14"/>
    </row>
    <row r="20">
      <c r="C20" s="22" t="s">
        <v>41</v>
      </c>
      <c r="D20" s="23"/>
      <c r="E20" s="23"/>
      <c r="F20" s="23"/>
      <c r="G20" s="23"/>
      <c r="H20" s="23"/>
      <c r="I20" s="23"/>
      <c r="J20" s="24"/>
    </row>
    <row r="21">
      <c r="C21" s="27"/>
      <c r="D21" s="28"/>
      <c r="E21" s="28"/>
      <c r="F21" s="28"/>
      <c r="G21" s="28"/>
      <c r="H21" s="28"/>
      <c r="I21" s="28"/>
      <c r="J21" s="29"/>
    </row>
    <row r="22">
      <c r="C22" s="32"/>
      <c r="D22" s="32" t="s">
        <v>49</v>
      </c>
      <c r="E22" s="32" t="s">
        <v>51</v>
      </c>
      <c r="F22" s="32" t="s">
        <v>52</v>
      </c>
      <c r="G22" s="32"/>
      <c r="H22" s="32" t="s">
        <v>352</v>
      </c>
      <c r="I22" s="32" t="s">
        <v>56</v>
      </c>
      <c r="J22" s="32" t="s">
        <v>57</v>
      </c>
    </row>
    <row r="23">
      <c r="C23" s="1" t="s">
        <v>59</v>
      </c>
      <c r="D23" s="11">
        <f>SUM(D2:D4)</f>
        <v>50000</v>
      </c>
      <c r="E23" s="1">
        <v>3.0</v>
      </c>
      <c r="F23" s="38">
        <v>6.5</v>
      </c>
      <c r="H23" s="17">
        <f t="shared" ref="H23:H24" si="2">D23*E23/100</f>
        <v>1500</v>
      </c>
      <c r="I23" s="17">
        <f t="shared" ref="I23:I24" si="3">H23*F23</f>
        <v>9750</v>
      </c>
      <c r="J23" s="14">
        <f t="shared" ref="J23:J24" si="4">D23+I23</f>
        <v>59750</v>
      </c>
    </row>
    <row r="24">
      <c r="C24" s="1" t="s">
        <v>111</v>
      </c>
      <c r="D24" s="11">
        <f>D9+F10</f>
        <v>4500</v>
      </c>
      <c r="E24" s="1">
        <v>3.0</v>
      </c>
      <c r="F24" s="38">
        <v>3.0</v>
      </c>
      <c r="H24" s="17">
        <f t="shared" si="2"/>
        <v>135</v>
      </c>
      <c r="I24" s="17">
        <f t="shared" si="3"/>
        <v>405</v>
      </c>
      <c r="J24" s="14">
        <f t="shared" si="4"/>
        <v>4905</v>
      </c>
    </row>
    <row r="25">
      <c r="D25" s="11"/>
      <c r="F25" s="38"/>
    </row>
    <row r="26">
      <c r="D26" s="14"/>
      <c r="F26" s="40"/>
    </row>
    <row r="27">
      <c r="D27" s="14"/>
      <c r="F27" s="40"/>
      <c r="J27" s="19">
        <f>SUM(J23:J25)</f>
        <v>64655</v>
      </c>
    </row>
    <row r="28">
      <c r="D28" s="14"/>
      <c r="F28" s="40"/>
    </row>
    <row r="29">
      <c r="H29" s="39" t="s">
        <v>62</v>
      </c>
      <c r="J29" s="95">
        <f>F14</f>
        <v>37280</v>
      </c>
    </row>
    <row r="31">
      <c r="H31" s="39" t="s">
        <v>72</v>
      </c>
      <c r="J31" s="60">
        <f>J27-J29</f>
        <v>27375</v>
      </c>
      <c r="L31" s="47" t="s">
        <v>69</v>
      </c>
    </row>
    <row r="32">
      <c r="L32" s="124">
        <f>J31/3</f>
        <v>9125</v>
      </c>
      <c r="M32" s="1" t="s">
        <v>79</v>
      </c>
    </row>
    <row r="33">
      <c r="D33" s="14"/>
      <c r="L33" s="124">
        <f t="shared" ref="L33:L34" si="5">L32</f>
        <v>9125</v>
      </c>
      <c r="M33" s="1" t="s">
        <v>82</v>
      </c>
    </row>
    <row r="34">
      <c r="D34" s="14"/>
      <c r="L34" s="124">
        <f t="shared" si="5"/>
        <v>9125</v>
      </c>
      <c r="M34" s="1" t="s">
        <v>84</v>
      </c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</sheetData>
  <mergeCells count="1">
    <mergeCell ref="C20:J21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9.25"/>
    <col customWidth="1" min="4" max="4" width="10.7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" t="s">
        <v>25</v>
      </c>
      <c r="B2" s="1" t="s">
        <v>481</v>
      </c>
      <c r="C2" s="15" t="s">
        <v>482</v>
      </c>
      <c r="D2" s="53">
        <v>50000.0</v>
      </c>
      <c r="F2" s="40"/>
      <c r="J2" s="94">
        <v>0.35</v>
      </c>
      <c r="L2" s="17">
        <f>D2*J2</f>
        <v>17500</v>
      </c>
    </row>
    <row r="3">
      <c r="A3" s="143" t="s">
        <v>23</v>
      </c>
      <c r="B3" s="143" t="s">
        <v>483</v>
      </c>
      <c r="C3" s="143" t="s">
        <v>483</v>
      </c>
      <c r="D3" s="143">
        <v>0.0</v>
      </c>
      <c r="E3" s="143" t="s">
        <v>484</v>
      </c>
      <c r="F3" s="144">
        <v>17500.0</v>
      </c>
      <c r="G3" s="7">
        <v>0.35</v>
      </c>
    </row>
    <row r="4">
      <c r="A4" s="143" t="s">
        <v>23</v>
      </c>
      <c r="B4" s="143" t="s">
        <v>483</v>
      </c>
      <c r="C4" s="143" t="s">
        <v>483</v>
      </c>
      <c r="D4" s="143">
        <v>0.0</v>
      </c>
      <c r="E4" s="143" t="s">
        <v>485</v>
      </c>
      <c r="F4" s="143">
        <v>5000.0</v>
      </c>
      <c r="G4" s="7">
        <v>0.35</v>
      </c>
    </row>
    <row r="5">
      <c r="A5" s="143" t="s">
        <v>23</v>
      </c>
      <c r="B5" s="143" t="s">
        <v>483</v>
      </c>
      <c r="C5" s="143" t="s">
        <v>483</v>
      </c>
      <c r="D5" s="143">
        <v>0.0</v>
      </c>
      <c r="E5" s="143" t="s">
        <v>486</v>
      </c>
      <c r="F5" s="143">
        <v>12500.0</v>
      </c>
    </row>
    <row r="6">
      <c r="A6" s="143" t="s">
        <v>23</v>
      </c>
      <c r="B6" s="143" t="s">
        <v>483</v>
      </c>
      <c r="C6" s="143" t="s">
        <v>483</v>
      </c>
      <c r="D6" s="143">
        <v>0.0</v>
      </c>
      <c r="E6" s="143" t="s">
        <v>487</v>
      </c>
      <c r="F6" s="143">
        <v>7000.0</v>
      </c>
      <c r="G6" s="7">
        <v>0.35</v>
      </c>
    </row>
    <row r="7">
      <c r="A7" s="143" t="s">
        <v>23</v>
      </c>
      <c r="B7" s="143" t="s">
        <v>483</v>
      </c>
      <c r="C7" s="143" t="s">
        <v>483</v>
      </c>
      <c r="D7" s="143">
        <v>0.0</v>
      </c>
      <c r="E7" s="143" t="s">
        <v>488</v>
      </c>
      <c r="F7" s="143">
        <v>10000.0</v>
      </c>
    </row>
    <row r="8">
      <c r="A8" s="143" t="s">
        <v>23</v>
      </c>
      <c r="B8" s="143" t="s">
        <v>483</v>
      </c>
      <c r="C8" s="143" t="s">
        <v>483</v>
      </c>
      <c r="D8" s="143">
        <v>0.0</v>
      </c>
      <c r="E8" s="143" t="s">
        <v>489</v>
      </c>
      <c r="F8" s="143">
        <v>500.0</v>
      </c>
    </row>
    <row r="9">
      <c r="A9" s="143" t="s">
        <v>23</v>
      </c>
      <c r="B9" s="143" t="s">
        <v>483</v>
      </c>
      <c r="C9" s="143" t="s">
        <v>483</v>
      </c>
      <c r="D9" s="143">
        <v>0.0</v>
      </c>
      <c r="E9" s="1" t="s">
        <v>465</v>
      </c>
      <c r="F9" s="1">
        <v>1000.0</v>
      </c>
      <c r="G9" s="7">
        <v>0.02</v>
      </c>
    </row>
    <row r="10">
      <c r="A10" s="143" t="s">
        <v>23</v>
      </c>
      <c r="B10" s="143" t="s">
        <v>483</v>
      </c>
      <c r="C10" s="143" t="s">
        <v>483</v>
      </c>
      <c r="D10" s="143">
        <v>0.0</v>
      </c>
      <c r="E10" s="1" t="s">
        <v>466</v>
      </c>
      <c r="F10" s="1">
        <v>8750.0</v>
      </c>
      <c r="G10" s="7">
        <v>0.35</v>
      </c>
    </row>
    <row r="11">
      <c r="A11" s="143" t="s">
        <v>23</v>
      </c>
      <c r="B11" s="143" t="s">
        <v>483</v>
      </c>
      <c r="C11" s="143" t="s">
        <v>483</v>
      </c>
      <c r="D11" s="143">
        <v>0.0</v>
      </c>
      <c r="E11" s="1" t="s">
        <v>467</v>
      </c>
      <c r="F11" s="1">
        <v>9000.0</v>
      </c>
    </row>
    <row r="12">
      <c r="A12" s="143" t="s">
        <v>23</v>
      </c>
      <c r="B12" s="143" t="s">
        <v>483</v>
      </c>
      <c r="C12" s="143" t="s">
        <v>483</v>
      </c>
      <c r="D12" s="143">
        <v>0.0</v>
      </c>
      <c r="E12" s="1" t="s">
        <v>490</v>
      </c>
      <c r="F12" s="1">
        <v>17500.0</v>
      </c>
      <c r="G12" s="7">
        <v>0.35</v>
      </c>
    </row>
    <row r="13">
      <c r="A13" s="143" t="s">
        <v>23</v>
      </c>
      <c r="B13" s="143" t="s">
        <v>483</v>
      </c>
      <c r="C13" s="143" t="s">
        <v>483</v>
      </c>
      <c r="D13" s="143">
        <v>0.0</v>
      </c>
      <c r="E13" s="1" t="s">
        <v>491</v>
      </c>
      <c r="F13" s="1">
        <v>17500.0</v>
      </c>
      <c r="G13" s="7">
        <v>0.35</v>
      </c>
    </row>
    <row r="14">
      <c r="D14" s="14"/>
    </row>
    <row r="15">
      <c r="D15" s="14"/>
      <c r="G15" s="15" t="s">
        <v>472</v>
      </c>
      <c r="H15" s="1" t="s">
        <v>473</v>
      </c>
      <c r="J15" s="59" t="s">
        <v>474</v>
      </c>
    </row>
    <row r="16">
      <c r="D16" s="19">
        <f>SUM(D2:D15)</f>
        <v>50000</v>
      </c>
      <c r="F16" s="40">
        <f>SUM(F2:F14)</f>
        <v>106250</v>
      </c>
      <c r="G16" s="18">
        <f>SUM(G3:G8)</f>
        <v>1.05</v>
      </c>
      <c r="H16" s="145">
        <f>D16-F16</f>
        <v>-56250</v>
      </c>
      <c r="J16" s="59">
        <f>H16*2/100</f>
        <v>-1125</v>
      </c>
    </row>
    <row r="17">
      <c r="D17" s="14"/>
      <c r="I17" s="15"/>
      <c r="J17" s="59">
        <f>D16*2/100</f>
        <v>1000</v>
      </c>
      <c r="L17" s="17">
        <f>SUM(L2:L15)</f>
        <v>17500</v>
      </c>
    </row>
    <row r="18">
      <c r="D18" s="14"/>
      <c r="J18" s="59"/>
    </row>
    <row r="19">
      <c r="D19" s="14"/>
    </row>
    <row r="20">
      <c r="D20" s="14"/>
    </row>
    <row r="21">
      <c r="D21" s="14"/>
    </row>
    <row r="22">
      <c r="C22" s="22" t="s">
        <v>492</v>
      </c>
      <c r="D22" s="23"/>
      <c r="E22" s="23"/>
      <c r="F22" s="23"/>
      <c r="G22" s="23"/>
      <c r="H22" s="23"/>
      <c r="I22" s="23"/>
      <c r="J22" s="24"/>
    </row>
    <row r="23">
      <c r="C23" s="27"/>
      <c r="D23" s="28"/>
      <c r="E23" s="28"/>
      <c r="F23" s="28"/>
      <c r="G23" s="28"/>
      <c r="H23" s="28"/>
      <c r="I23" s="28"/>
      <c r="J23" s="29"/>
    </row>
    <row r="24">
      <c r="C24" s="10"/>
      <c r="D24" s="10" t="s">
        <v>49</v>
      </c>
      <c r="E24" s="10" t="s">
        <v>51</v>
      </c>
      <c r="F24" s="10" t="s">
        <v>52</v>
      </c>
      <c r="G24" s="10"/>
      <c r="H24" s="10" t="s">
        <v>352</v>
      </c>
      <c r="I24" s="10" t="s">
        <v>56</v>
      </c>
      <c r="J24" s="10" t="s">
        <v>57</v>
      </c>
    </row>
    <row r="25">
      <c r="C25" s="1" t="s">
        <v>59</v>
      </c>
      <c r="D25" s="11">
        <f>SUM(D2:D3)</f>
        <v>50000</v>
      </c>
      <c r="E25" s="1">
        <v>2.0</v>
      </c>
      <c r="F25" s="38">
        <v>5.0</v>
      </c>
      <c r="H25" s="17">
        <f>D25*E25/100</f>
        <v>1000</v>
      </c>
      <c r="I25" s="17">
        <f>H25*F25</f>
        <v>5000</v>
      </c>
      <c r="J25" s="14">
        <f>D25+I25</f>
        <v>55000</v>
      </c>
    </row>
    <row r="26">
      <c r="D26" s="11"/>
      <c r="F26" s="38"/>
    </row>
    <row r="27">
      <c r="D27" s="11"/>
      <c r="F27" s="38"/>
    </row>
    <row r="28">
      <c r="D28" s="14"/>
      <c r="F28" s="40"/>
    </row>
    <row r="29">
      <c r="D29" s="14"/>
      <c r="F29" s="40"/>
      <c r="J29" s="19">
        <f>SUM(J25:J27)</f>
        <v>55000</v>
      </c>
    </row>
    <row r="30">
      <c r="D30" s="14"/>
      <c r="F30" s="40"/>
    </row>
    <row r="31">
      <c r="H31" s="39" t="s">
        <v>62</v>
      </c>
      <c r="J31" s="95">
        <f>F16</f>
        <v>106250</v>
      </c>
    </row>
    <row r="33">
      <c r="H33" s="146" t="s">
        <v>493</v>
      </c>
      <c r="I33" s="147"/>
      <c r="J33" s="148">
        <f>J29-J31</f>
        <v>-51250</v>
      </c>
      <c r="L33" s="47" t="s">
        <v>69</v>
      </c>
    </row>
    <row r="34">
      <c r="L34" s="124">
        <f>J33/3</f>
        <v>-17083.33333</v>
      </c>
      <c r="M34" s="1" t="s">
        <v>79</v>
      </c>
    </row>
    <row r="35">
      <c r="D35" s="14"/>
      <c r="L35" s="124">
        <f t="shared" ref="L35:L36" si="1">L34</f>
        <v>-17083.33333</v>
      </c>
      <c r="M35" s="1" t="s">
        <v>82</v>
      </c>
    </row>
    <row r="36">
      <c r="D36" s="14"/>
      <c r="L36" s="124">
        <f t="shared" si="1"/>
        <v>-17083.33333</v>
      </c>
      <c r="M36" s="1" t="s">
        <v>84</v>
      </c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  <row r="1003">
      <c r="D1003" s="14"/>
    </row>
  </sheetData>
  <mergeCells count="4">
    <mergeCell ref="G4:G5"/>
    <mergeCell ref="G6:G8"/>
    <mergeCell ref="G10:G11"/>
    <mergeCell ref="C22:J23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22.1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" t="s">
        <v>25</v>
      </c>
      <c r="B2" s="1" t="s">
        <v>494</v>
      </c>
      <c r="C2" s="15" t="s">
        <v>495</v>
      </c>
      <c r="D2" s="53">
        <v>25000.0</v>
      </c>
      <c r="F2" s="40"/>
      <c r="J2" s="94">
        <v>0.2</v>
      </c>
      <c r="L2" s="17">
        <f t="shared" ref="L2:L3" si="1">D2*J2</f>
        <v>5000</v>
      </c>
    </row>
    <row r="3">
      <c r="A3" s="143" t="s">
        <v>23</v>
      </c>
      <c r="B3" s="143" t="s">
        <v>483</v>
      </c>
      <c r="C3" s="143" t="s">
        <v>483</v>
      </c>
      <c r="D3" s="143">
        <v>0.0</v>
      </c>
      <c r="E3" s="1"/>
      <c r="F3" s="1"/>
      <c r="G3" s="7"/>
      <c r="L3" s="17">
        <f t="shared" si="1"/>
        <v>0</v>
      </c>
    </row>
    <row r="4">
      <c r="A4" s="143"/>
      <c r="B4" s="143"/>
      <c r="C4" s="143"/>
      <c r="D4" s="143"/>
      <c r="E4" s="143" t="s">
        <v>465</v>
      </c>
      <c r="F4" s="144">
        <v>500.0</v>
      </c>
      <c r="G4" s="7">
        <v>0.02</v>
      </c>
    </row>
    <row r="5">
      <c r="A5" s="143"/>
      <c r="B5" s="143"/>
      <c r="C5" s="143"/>
      <c r="D5" s="143"/>
      <c r="E5" s="143" t="s">
        <v>466</v>
      </c>
      <c r="F5" s="143">
        <v>2500.0</v>
      </c>
      <c r="G5" s="7">
        <v>0.2</v>
      </c>
    </row>
    <row r="6">
      <c r="A6" s="143"/>
      <c r="B6" s="143"/>
      <c r="C6" s="143"/>
      <c r="D6" s="143"/>
      <c r="E6" s="143" t="s">
        <v>467</v>
      </c>
      <c r="F6" s="143">
        <v>2500.0</v>
      </c>
    </row>
    <row r="7">
      <c r="A7" s="143"/>
      <c r="B7" s="143"/>
      <c r="C7" s="143"/>
      <c r="D7" s="143"/>
      <c r="E7" s="143" t="s">
        <v>496</v>
      </c>
      <c r="F7" s="143">
        <v>5000.0</v>
      </c>
      <c r="G7" s="7">
        <v>0.2</v>
      </c>
    </row>
    <row r="8">
      <c r="A8" s="143"/>
      <c r="B8" s="143"/>
      <c r="C8" s="143"/>
      <c r="D8" s="143"/>
      <c r="E8" s="143" t="s">
        <v>497</v>
      </c>
      <c r="F8" s="143">
        <v>5000.0</v>
      </c>
      <c r="G8" s="7">
        <v>0.2</v>
      </c>
    </row>
    <row r="9">
      <c r="D9" s="11"/>
    </row>
    <row r="10">
      <c r="D10" s="14"/>
    </row>
    <row r="13">
      <c r="L13" s="17">
        <f>SUM(L2:L11)</f>
        <v>5000</v>
      </c>
    </row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>
      <c r="L29" s="47" t="s">
        <v>69</v>
      </c>
    </row>
    <row r="30" hidden="1">
      <c r="L30" s="124">
        <f>J51/3</f>
        <v>4000</v>
      </c>
      <c r="M30" s="1" t="s">
        <v>79</v>
      </c>
    </row>
    <row r="31" hidden="1">
      <c r="L31" s="124">
        <f>L30</f>
        <v>4000</v>
      </c>
      <c r="M31" s="1" t="s">
        <v>82</v>
      </c>
    </row>
    <row r="33">
      <c r="D33" s="14"/>
      <c r="G33" s="15" t="s">
        <v>472</v>
      </c>
      <c r="H33" s="1" t="s">
        <v>473</v>
      </c>
      <c r="J33" s="59" t="s">
        <v>474</v>
      </c>
    </row>
    <row r="34">
      <c r="D34" s="19">
        <f>SUM(D2:D33)</f>
        <v>25000</v>
      </c>
      <c r="F34" s="40">
        <f>SUM(F2:F9)</f>
        <v>15500</v>
      </c>
      <c r="G34" s="18">
        <f>SUM(G4:G8)</f>
        <v>0.62</v>
      </c>
      <c r="H34" s="145">
        <f>D34-F34</f>
        <v>9500</v>
      </c>
      <c r="J34" s="59">
        <f>H34*2/100</f>
        <v>190</v>
      </c>
    </row>
    <row r="35">
      <c r="D35" s="14"/>
      <c r="I35" s="15" t="s">
        <v>498</v>
      </c>
      <c r="J35" s="59">
        <f>D34*2/100</f>
        <v>500</v>
      </c>
    </row>
    <row r="36">
      <c r="D36" s="14"/>
      <c r="J36" s="59"/>
    </row>
    <row r="37">
      <c r="D37" s="14"/>
    </row>
    <row r="38">
      <c r="D38" s="14"/>
    </row>
    <row r="39">
      <c r="D39" s="14"/>
    </row>
    <row r="40">
      <c r="C40" s="22" t="s">
        <v>492</v>
      </c>
      <c r="D40" s="23"/>
      <c r="E40" s="23"/>
      <c r="F40" s="23"/>
      <c r="G40" s="23"/>
      <c r="H40" s="23"/>
      <c r="I40" s="23"/>
      <c r="J40" s="24"/>
    </row>
    <row r="41">
      <c r="C41" s="27"/>
      <c r="D41" s="28"/>
      <c r="E41" s="28"/>
      <c r="F41" s="28"/>
      <c r="G41" s="28"/>
      <c r="H41" s="28"/>
      <c r="I41" s="28"/>
      <c r="J41" s="29"/>
    </row>
    <row r="42">
      <c r="C42" s="10"/>
      <c r="D42" s="10" t="s">
        <v>49</v>
      </c>
      <c r="E42" s="10" t="s">
        <v>51</v>
      </c>
      <c r="F42" s="10" t="s">
        <v>52</v>
      </c>
      <c r="G42" s="10"/>
      <c r="H42" s="10" t="s">
        <v>352</v>
      </c>
      <c r="I42" s="10" t="s">
        <v>56</v>
      </c>
      <c r="J42" s="10" t="s">
        <v>57</v>
      </c>
    </row>
    <row r="43">
      <c r="C43" s="1" t="s">
        <v>59</v>
      </c>
      <c r="D43" s="11">
        <f>SUM(D2:D3)</f>
        <v>25000</v>
      </c>
      <c r="E43" s="1">
        <v>2.0</v>
      </c>
      <c r="F43" s="38">
        <v>5.0</v>
      </c>
      <c r="H43" s="17">
        <f>D43*E43/100</f>
        <v>500</v>
      </c>
      <c r="I43" s="17">
        <f>H43*F43</f>
        <v>2500</v>
      </c>
      <c r="J43" s="14">
        <f>D43+I43</f>
        <v>27500</v>
      </c>
    </row>
    <row r="44">
      <c r="D44" s="11"/>
      <c r="F44" s="38"/>
    </row>
    <row r="45">
      <c r="D45" s="11"/>
      <c r="F45" s="38"/>
    </row>
    <row r="46">
      <c r="D46" s="14"/>
      <c r="F46" s="40"/>
    </row>
    <row r="47">
      <c r="D47" s="14"/>
      <c r="F47" s="40"/>
      <c r="J47" s="19">
        <f>SUM(J43:J45)</f>
        <v>27500</v>
      </c>
    </row>
    <row r="48">
      <c r="D48" s="14"/>
      <c r="F48" s="40"/>
    </row>
    <row r="49">
      <c r="H49" s="39" t="s">
        <v>62</v>
      </c>
      <c r="J49" s="95">
        <f>F34</f>
        <v>15500</v>
      </c>
    </row>
    <row r="51">
      <c r="H51" s="146" t="s">
        <v>493</v>
      </c>
      <c r="I51" s="147"/>
      <c r="J51" s="148">
        <f>J47-J49</f>
        <v>12000</v>
      </c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mergeCells count="2">
    <mergeCell ref="G5:G6"/>
    <mergeCell ref="C40:J41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22.1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" t="s">
        <v>25</v>
      </c>
      <c r="B2" s="1" t="s">
        <v>499</v>
      </c>
      <c r="C2" s="15" t="s">
        <v>500</v>
      </c>
      <c r="D2" s="53">
        <v>50000.0</v>
      </c>
      <c r="E2" s="143" t="s">
        <v>501</v>
      </c>
      <c r="F2" s="143">
        <v>12166.0</v>
      </c>
      <c r="G2" s="7">
        <v>0.35</v>
      </c>
      <c r="J2" s="94">
        <v>0.2</v>
      </c>
      <c r="L2" s="17">
        <f>D2*J2</f>
        <v>10000</v>
      </c>
    </row>
    <row r="3">
      <c r="B3" s="143"/>
      <c r="C3" s="15"/>
      <c r="D3" s="53"/>
      <c r="E3" s="143" t="s">
        <v>502</v>
      </c>
      <c r="F3" s="143">
        <v>17500.0</v>
      </c>
      <c r="G3" s="7">
        <v>0.35</v>
      </c>
    </row>
    <row r="4">
      <c r="B4" s="143"/>
      <c r="C4" s="15"/>
      <c r="D4" s="53"/>
      <c r="E4" s="143"/>
      <c r="F4" s="143"/>
      <c r="G4" s="7"/>
    </row>
    <row r="5">
      <c r="A5" s="143"/>
      <c r="B5" s="143"/>
      <c r="C5" s="143"/>
      <c r="D5" s="143"/>
      <c r="E5" s="143"/>
      <c r="F5" s="143"/>
      <c r="G5" s="7"/>
    </row>
    <row r="6">
      <c r="A6" s="143"/>
      <c r="B6" s="143"/>
      <c r="C6" s="143"/>
      <c r="D6" s="143"/>
      <c r="E6" s="143"/>
      <c r="F6" s="143"/>
      <c r="G6" s="7"/>
    </row>
    <row r="7">
      <c r="A7" s="143"/>
      <c r="B7" s="143"/>
      <c r="C7" s="143"/>
      <c r="D7" s="143"/>
      <c r="E7" s="143"/>
      <c r="F7" s="143"/>
      <c r="G7" s="7"/>
    </row>
    <row r="8">
      <c r="A8" s="143"/>
      <c r="B8" s="143"/>
      <c r="C8" s="143"/>
      <c r="D8" s="143"/>
      <c r="E8" s="143"/>
      <c r="F8" s="143"/>
      <c r="G8" s="7"/>
    </row>
    <row r="9">
      <c r="D9" s="11"/>
      <c r="E9" s="143"/>
    </row>
    <row r="10">
      <c r="D10" s="14"/>
    </row>
    <row r="13">
      <c r="L13" s="17">
        <f>SUM(L2:L11)</f>
        <v>10000</v>
      </c>
    </row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>
      <c r="L29" s="47" t="s">
        <v>69</v>
      </c>
    </row>
    <row r="30" hidden="1">
      <c r="L30" s="124">
        <f>J51/3</f>
        <v>8444.666667</v>
      </c>
      <c r="M30" s="1" t="s">
        <v>79</v>
      </c>
    </row>
    <row r="31" hidden="1">
      <c r="L31" s="124">
        <f>L30</f>
        <v>8444.666667</v>
      </c>
      <c r="M31" s="1" t="s">
        <v>82</v>
      </c>
    </row>
    <row r="33">
      <c r="D33" s="14"/>
      <c r="G33" s="15" t="s">
        <v>472</v>
      </c>
      <c r="H33" s="1" t="s">
        <v>473</v>
      </c>
      <c r="J33" s="59" t="s">
        <v>474</v>
      </c>
    </row>
    <row r="34">
      <c r="D34" s="19">
        <f>SUM(D2:D33)</f>
        <v>50000</v>
      </c>
      <c r="F34" s="17">
        <f>SUM(F2:F9)</f>
        <v>29666</v>
      </c>
      <c r="G34" s="18">
        <f>SUM(G2:G8)</f>
        <v>0.7</v>
      </c>
      <c r="H34" s="145">
        <f>D34-F34</f>
        <v>20334</v>
      </c>
      <c r="J34" s="59">
        <f>H34*2/100</f>
        <v>406.68</v>
      </c>
    </row>
    <row r="35">
      <c r="D35" s="14"/>
      <c r="I35" s="15" t="s">
        <v>498</v>
      </c>
      <c r="J35" s="59">
        <f>D34*2/100</f>
        <v>1000</v>
      </c>
    </row>
    <row r="36">
      <c r="D36" s="14"/>
      <c r="J36" s="59"/>
    </row>
    <row r="37">
      <c r="D37" s="14"/>
    </row>
    <row r="38">
      <c r="D38" s="14"/>
    </row>
    <row r="39">
      <c r="D39" s="14"/>
    </row>
    <row r="40">
      <c r="C40" s="22" t="s">
        <v>492</v>
      </c>
      <c r="D40" s="23"/>
      <c r="E40" s="23"/>
      <c r="F40" s="23"/>
      <c r="G40" s="23"/>
      <c r="H40" s="23"/>
      <c r="I40" s="23"/>
      <c r="J40" s="24"/>
    </row>
    <row r="41">
      <c r="C41" s="27"/>
      <c r="D41" s="28"/>
      <c r="E41" s="28"/>
      <c r="F41" s="28"/>
      <c r="G41" s="28"/>
      <c r="H41" s="28"/>
      <c r="I41" s="28"/>
      <c r="J41" s="29"/>
    </row>
    <row r="42">
      <c r="C42" s="10"/>
      <c r="D42" s="10" t="s">
        <v>49</v>
      </c>
      <c r="E42" s="10" t="s">
        <v>51</v>
      </c>
      <c r="F42" s="10" t="s">
        <v>52</v>
      </c>
      <c r="G42" s="10"/>
      <c r="H42" s="10" t="s">
        <v>352</v>
      </c>
      <c r="I42" s="10" t="s">
        <v>56</v>
      </c>
      <c r="J42" s="10" t="s">
        <v>57</v>
      </c>
    </row>
    <row r="43">
      <c r="C43" s="1" t="s">
        <v>59</v>
      </c>
      <c r="D43" s="11">
        <f>SUM(D2:D3)</f>
        <v>50000</v>
      </c>
      <c r="E43" s="1">
        <v>2.0</v>
      </c>
      <c r="F43" s="38">
        <v>5.0</v>
      </c>
      <c r="H43" s="17">
        <f>D43*E43/100</f>
        <v>1000</v>
      </c>
      <c r="I43" s="17">
        <f>H43*F43</f>
        <v>5000</v>
      </c>
      <c r="J43" s="14">
        <f>D43+I43</f>
        <v>55000</v>
      </c>
    </row>
    <row r="44">
      <c r="D44" s="11"/>
      <c r="F44" s="38"/>
    </row>
    <row r="45">
      <c r="D45" s="11"/>
      <c r="F45" s="38"/>
    </row>
    <row r="46">
      <c r="D46" s="14"/>
      <c r="F46" s="40"/>
    </row>
    <row r="47">
      <c r="D47" s="14"/>
      <c r="F47" s="40"/>
      <c r="J47" s="19">
        <f>SUM(J43:J45)</f>
        <v>55000</v>
      </c>
    </row>
    <row r="48">
      <c r="D48" s="14"/>
      <c r="F48" s="40"/>
    </row>
    <row r="49">
      <c r="H49" s="39" t="s">
        <v>62</v>
      </c>
      <c r="J49" s="20">
        <f>F34</f>
        <v>29666</v>
      </c>
    </row>
    <row r="51">
      <c r="H51" s="146" t="s">
        <v>493</v>
      </c>
      <c r="I51" s="147"/>
      <c r="J51" s="148">
        <f>J47-J49</f>
        <v>25334</v>
      </c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mergeCells count="1">
    <mergeCell ref="C40:J41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22.1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" t="s">
        <v>25</v>
      </c>
      <c r="B2" s="143" t="s">
        <v>503</v>
      </c>
      <c r="C2" s="15" t="s">
        <v>500</v>
      </c>
      <c r="D2" s="53">
        <v>100000.0</v>
      </c>
      <c r="F2" s="40"/>
      <c r="J2" s="94"/>
    </row>
    <row r="3">
      <c r="A3" s="1" t="s">
        <v>504</v>
      </c>
      <c r="B3" s="143"/>
      <c r="C3" s="15"/>
      <c r="D3" s="53"/>
      <c r="E3" s="143" t="s">
        <v>502</v>
      </c>
      <c r="F3" s="143">
        <v>22500.0</v>
      </c>
      <c r="G3" s="7">
        <f>F3/D2</f>
        <v>0.225</v>
      </c>
    </row>
    <row r="4">
      <c r="B4" s="143"/>
      <c r="C4" s="15"/>
      <c r="D4" s="53"/>
      <c r="E4" s="143"/>
      <c r="F4" s="144"/>
      <c r="G4" s="7"/>
    </row>
    <row r="5">
      <c r="A5" s="143"/>
      <c r="B5" s="143"/>
      <c r="C5" s="143"/>
      <c r="D5" s="143"/>
      <c r="E5" s="143"/>
      <c r="F5" s="143"/>
      <c r="G5" s="7"/>
    </row>
    <row r="6">
      <c r="A6" s="143"/>
      <c r="B6" s="143"/>
      <c r="C6" s="143"/>
      <c r="D6" s="143"/>
      <c r="E6" s="143"/>
      <c r="F6" s="143"/>
      <c r="G6" s="7"/>
    </row>
    <row r="7">
      <c r="A7" s="143"/>
      <c r="B7" s="143"/>
      <c r="C7" s="143"/>
      <c r="D7" s="143"/>
      <c r="E7" s="143"/>
      <c r="F7" s="143"/>
      <c r="G7" s="7"/>
    </row>
    <row r="8">
      <c r="A8" s="143"/>
      <c r="B8" s="143"/>
      <c r="C8" s="143"/>
      <c r="D8" s="143"/>
      <c r="E8" s="143"/>
      <c r="F8" s="143"/>
      <c r="G8" s="7"/>
    </row>
    <row r="9">
      <c r="D9" s="11"/>
      <c r="E9" s="143"/>
    </row>
    <row r="10">
      <c r="D10" s="14"/>
    </row>
    <row r="13">
      <c r="L13" s="17">
        <f>SUM(L2:L11)</f>
        <v>0</v>
      </c>
    </row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>
      <c r="L29" s="47" t="s">
        <v>69</v>
      </c>
    </row>
    <row r="30" hidden="1">
      <c r="L30" s="124">
        <f>J51/3</f>
        <v>29166.66667</v>
      </c>
      <c r="M30" s="1" t="s">
        <v>79</v>
      </c>
    </row>
    <row r="31" hidden="1">
      <c r="L31" s="124">
        <f>L30</f>
        <v>29166.66667</v>
      </c>
      <c r="M31" s="1" t="s">
        <v>82</v>
      </c>
    </row>
    <row r="33">
      <c r="D33" s="14"/>
      <c r="G33" s="15" t="s">
        <v>472</v>
      </c>
      <c r="H33" s="1" t="s">
        <v>473</v>
      </c>
      <c r="J33" s="59" t="s">
        <v>474</v>
      </c>
    </row>
    <row r="34">
      <c r="D34" s="19">
        <f>SUM(D2:D33)</f>
        <v>100000</v>
      </c>
      <c r="F34" s="40">
        <f>SUM(F2:F9)</f>
        <v>22500</v>
      </c>
      <c r="G34" s="18">
        <f>SUM(G2:G8)</f>
        <v>0.225</v>
      </c>
      <c r="H34" s="145">
        <f>D34-F34</f>
        <v>77500</v>
      </c>
      <c r="J34" s="59">
        <f>H34*2/100</f>
        <v>1550</v>
      </c>
    </row>
    <row r="35">
      <c r="D35" s="14"/>
      <c r="I35" s="15" t="s">
        <v>498</v>
      </c>
      <c r="J35" s="59">
        <f>D34*2/100</f>
        <v>2000</v>
      </c>
    </row>
    <row r="36">
      <c r="D36" s="14"/>
      <c r="J36" s="59"/>
    </row>
    <row r="37">
      <c r="D37" s="14"/>
    </row>
    <row r="38">
      <c r="D38" s="14"/>
    </row>
    <row r="39">
      <c r="D39" s="14"/>
    </row>
    <row r="40">
      <c r="C40" s="22" t="s">
        <v>492</v>
      </c>
      <c r="D40" s="23"/>
      <c r="E40" s="23"/>
      <c r="F40" s="23"/>
      <c r="G40" s="23"/>
      <c r="H40" s="23"/>
      <c r="I40" s="23"/>
      <c r="J40" s="24"/>
    </row>
    <row r="41">
      <c r="C41" s="27"/>
      <c r="D41" s="28"/>
      <c r="E41" s="28"/>
      <c r="F41" s="28"/>
      <c r="G41" s="28"/>
      <c r="H41" s="28"/>
      <c r="I41" s="28"/>
      <c r="J41" s="29"/>
    </row>
    <row r="42">
      <c r="C42" s="10"/>
      <c r="D42" s="10" t="s">
        <v>49</v>
      </c>
      <c r="E42" s="10" t="s">
        <v>51</v>
      </c>
      <c r="F42" s="10" t="s">
        <v>52</v>
      </c>
      <c r="G42" s="10"/>
      <c r="H42" s="10" t="s">
        <v>352</v>
      </c>
      <c r="I42" s="10" t="s">
        <v>56</v>
      </c>
      <c r="J42" s="10" t="s">
        <v>57</v>
      </c>
    </row>
    <row r="43">
      <c r="C43" s="1" t="s">
        <v>59</v>
      </c>
      <c r="D43" s="11">
        <f>SUM(D2:D3)</f>
        <v>100000</v>
      </c>
      <c r="E43" s="1">
        <v>2.0</v>
      </c>
      <c r="F43" s="38">
        <v>5.0</v>
      </c>
      <c r="H43" s="17">
        <f>D43*E43/100</f>
        <v>2000</v>
      </c>
      <c r="I43" s="17">
        <f>H43*F43</f>
        <v>10000</v>
      </c>
      <c r="J43" s="14">
        <f>D43+I43</f>
        <v>110000</v>
      </c>
    </row>
    <row r="44">
      <c r="D44" s="11"/>
      <c r="F44" s="38"/>
    </row>
    <row r="45">
      <c r="D45" s="11"/>
      <c r="F45" s="38"/>
    </row>
    <row r="46">
      <c r="D46" s="14"/>
      <c r="F46" s="40"/>
    </row>
    <row r="47">
      <c r="D47" s="14"/>
      <c r="F47" s="40"/>
      <c r="J47" s="19">
        <f>SUM(J43:J45)</f>
        <v>110000</v>
      </c>
    </row>
    <row r="48">
      <c r="D48" s="14"/>
      <c r="F48" s="40"/>
    </row>
    <row r="49">
      <c r="H49" s="39" t="s">
        <v>62</v>
      </c>
      <c r="J49" s="95">
        <f>F34</f>
        <v>22500</v>
      </c>
    </row>
    <row r="51">
      <c r="H51" s="146" t="s">
        <v>493</v>
      </c>
      <c r="I51" s="147"/>
      <c r="J51" s="148">
        <f>J47-J49</f>
        <v>87500</v>
      </c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mergeCells count="1">
    <mergeCell ref="C40:J4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22.1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" t="s">
        <v>25</v>
      </c>
      <c r="B2" s="1" t="s">
        <v>499</v>
      </c>
      <c r="C2" s="15" t="s">
        <v>500</v>
      </c>
      <c r="D2" s="53">
        <v>50000.0</v>
      </c>
      <c r="F2" s="40"/>
      <c r="J2" s="94"/>
    </row>
    <row r="3">
      <c r="A3" s="1" t="s">
        <v>25</v>
      </c>
      <c r="B3" s="1" t="s">
        <v>503</v>
      </c>
      <c r="C3" s="15" t="s">
        <v>500</v>
      </c>
      <c r="D3" s="53">
        <v>100000.0</v>
      </c>
      <c r="F3" s="40"/>
      <c r="J3" s="94"/>
    </row>
    <row r="4">
      <c r="A4" s="1" t="s">
        <v>25</v>
      </c>
      <c r="B4" s="1" t="s">
        <v>505</v>
      </c>
      <c r="C4" s="15" t="s">
        <v>500</v>
      </c>
      <c r="D4" s="53">
        <v>200000.0</v>
      </c>
      <c r="F4" s="40"/>
      <c r="J4" s="94">
        <v>0.2</v>
      </c>
      <c r="L4" s="17">
        <f>D4*J4</f>
        <v>40000</v>
      </c>
    </row>
    <row r="5">
      <c r="A5" s="1" t="s">
        <v>504</v>
      </c>
      <c r="B5" s="143"/>
      <c r="C5" s="15"/>
      <c r="D5" s="53"/>
      <c r="E5" s="1" t="s">
        <v>506</v>
      </c>
      <c r="F5" s="1">
        <v>12166.0</v>
      </c>
      <c r="G5" s="7">
        <f>F5/D2</f>
        <v>0.24332</v>
      </c>
      <c r="H5" s="1"/>
    </row>
    <row r="6">
      <c r="A6" s="1" t="s">
        <v>504</v>
      </c>
      <c r="B6" s="143"/>
      <c r="C6" s="15"/>
      <c r="D6" s="53"/>
      <c r="E6" s="143" t="s">
        <v>502</v>
      </c>
      <c r="F6" s="144">
        <v>17500.0</v>
      </c>
      <c r="G6" s="7">
        <f t="shared" ref="G6:G8" si="1">F6/D2</f>
        <v>0.35</v>
      </c>
    </row>
    <row r="7">
      <c r="A7" s="143" t="s">
        <v>504</v>
      </c>
      <c r="B7" s="143"/>
      <c r="C7" s="143"/>
      <c r="D7" s="143"/>
      <c r="E7" s="143" t="s">
        <v>502</v>
      </c>
      <c r="F7" s="143">
        <v>22500.0</v>
      </c>
      <c r="G7" s="7">
        <f t="shared" si="1"/>
        <v>0.225</v>
      </c>
    </row>
    <row r="8">
      <c r="A8" s="143" t="s">
        <v>504</v>
      </c>
      <c r="B8" s="143"/>
      <c r="C8" s="143"/>
      <c r="D8" s="143"/>
      <c r="E8" s="143" t="s">
        <v>502</v>
      </c>
      <c r="F8" s="143">
        <v>40000.0</v>
      </c>
      <c r="G8" s="7">
        <f t="shared" si="1"/>
        <v>0.2</v>
      </c>
    </row>
    <row r="9">
      <c r="A9" s="143"/>
      <c r="B9" s="143"/>
      <c r="C9" s="143"/>
      <c r="D9" s="143"/>
      <c r="E9" s="143"/>
      <c r="F9" s="143"/>
      <c r="G9" s="7"/>
    </row>
    <row r="10">
      <c r="A10" s="143"/>
      <c r="B10" s="143"/>
      <c r="C10" s="143"/>
      <c r="D10" s="143"/>
      <c r="E10" s="143"/>
      <c r="F10" s="143"/>
      <c r="G10" s="7"/>
    </row>
    <row r="11">
      <c r="D11" s="11"/>
      <c r="E11" s="143"/>
    </row>
    <row r="12">
      <c r="D12" s="14"/>
    </row>
    <row r="15">
      <c r="L15" s="17">
        <f>SUM(L4:L13)</f>
        <v>40000</v>
      </c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>
      <c r="L31" s="47" t="s">
        <v>69</v>
      </c>
    </row>
    <row r="32" hidden="1">
      <c r="L32" s="124">
        <f>J53/3</f>
        <v>42611.33333</v>
      </c>
      <c r="M32" s="1" t="s">
        <v>79</v>
      </c>
    </row>
    <row r="33" hidden="1">
      <c r="L33" s="124">
        <f>L32</f>
        <v>42611.33333</v>
      </c>
      <c r="M33" s="1" t="s">
        <v>82</v>
      </c>
    </row>
    <row r="35">
      <c r="D35" s="14"/>
      <c r="G35" s="15" t="s">
        <v>472</v>
      </c>
      <c r="H35" s="1" t="s">
        <v>473</v>
      </c>
      <c r="J35" s="59" t="s">
        <v>474</v>
      </c>
    </row>
    <row r="36">
      <c r="D36" s="19">
        <f>SUM(D2:D35)</f>
        <v>350000</v>
      </c>
      <c r="F36" s="40">
        <f>SUM(F2:F11)</f>
        <v>92166</v>
      </c>
      <c r="G36" s="18">
        <f>SUM(G6:G10)</f>
        <v>0.775</v>
      </c>
      <c r="H36" s="145">
        <f>D36-F36</f>
        <v>257834</v>
      </c>
      <c r="J36" s="59">
        <f>H36*2/100</f>
        <v>5156.68</v>
      </c>
    </row>
    <row r="37">
      <c r="D37" s="14"/>
      <c r="I37" s="15" t="s">
        <v>498</v>
      </c>
      <c r="J37" s="59">
        <f>D36*2/100</f>
        <v>7000</v>
      </c>
    </row>
    <row r="38">
      <c r="D38" s="14"/>
      <c r="J38" s="59"/>
    </row>
    <row r="39">
      <c r="D39" s="14"/>
    </row>
    <row r="40">
      <c r="D40" s="14"/>
    </row>
    <row r="41">
      <c r="D41" s="14"/>
    </row>
    <row r="42">
      <c r="C42" s="22" t="s">
        <v>492</v>
      </c>
      <c r="D42" s="23"/>
      <c r="E42" s="23"/>
      <c r="F42" s="23"/>
      <c r="G42" s="23"/>
      <c r="H42" s="23"/>
      <c r="I42" s="23"/>
      <c r="J42" s="24"/>
    </row>
    <row r="43">
      <c r="C43" s="27"/>
      <c r="D43" s="28"/>
      <c r="E43" s="28"/>
      <c r="F43" s="28"/>
      <c r="G43" s="28"/>
      <c r="H43" s="28"/>
      <c r="I43" s="28"/>
      <c r="J43" s="29"/>
    </row>
    <row r="44">
      <c r="C44" s="10"/>
      <c r="D44" s="10" t="s">
        <v>49</v>
      </c>
      <c r="E44" s="10" t="s">
        <v>51</v>
      </c>
      <c r="F44" s="10" t="s">
        <v>52</v>
      </c>
      <c r="G44" s="10"/>
      <c r="H44" s="10" t="s">
        <v>352</v>
      </c>
      <c r="I44" s="10" t="s">
        <v>56</v>
      </c>
      <c r="J44" s="10" t="s">
        <v>57</v>
      </c>
    </row>
    <row r="45">
      <c r="C45" s="1" t="s">
        <v>59</v>
      </c>
      <c r="D45" s="11">
        <f>SUM(D4:D5)</f>
        <v>200000</v>
      </c>
      <c r="E45" s="1">
        <v>2.0</v>
      </c>
      <c r="F45" s="38">
        <v>5.0</v>
      </c>
      <c r="H45" s="17">
        <f>D45*E45/100</f>
        <v>4000</v>
      </c>
      <c r="I45" s="17">
        <f>H45*F45</f>
        <v>20000</v>
      </c>
      <c r="J45" s="14">
        <f>D45+I45</f>
        <v>220000</v>
      </c>
    </row>
    <row r="46">
      <c r="D46" s="11"/>
      <c r="F46" s="38"/>
    </row>
    <row r="47">
      <c r="D47" s="11"/>
      <c r="F47" s="38"/>
    </row>
    <row r="48">
      <c r="D48" s="14"/>
      <c r="F48" s="40"/>
    </row>
    <row r="49">
      <c r="D49" s="14"/>
      <c r="F49" s="40"/>
      <c r="J49" s="19">
        <f>SUM(J45:J47)</f>
        <v>220000</v>
      </c>
    </row>
    <row r="50">
      <c r="D50" s="14"/>
      <c r="F50" s="40"/>
    </row>
    <row r="51">
      <c r="H51" s="39" t="s">
        <v>62</v>
      </c>
      <c r="J51" s="95">
        <f>F36</f>
        <v>92166</v>
      </c>
    </row>
    <row r="53">
      <c r="H53" s="146" t="s">
        <v>493</v>
      </c>
      <c r="I53" s="147"/>
      <c r="J53" s="148">
        <f>J49-J51</f>
        <v>127834</v>
      </c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</sheetData>
  <mergeCells count="1">
    <mergeCell ref="C42:J43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22.1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" t="s">
        <v>25</v>
      </c>
      <c r="B2" s="1" t="s">
        <v>507</v>
      </c>
      <c r="C2" s="15" t="s">
        <v>508</v>
      </c>
      <c r="D2" s="53">
        <v>50000.0</v>
      </c>
      <c r="F2" s="40"/>
      <c r="J2" s="94">
        <v>0.2</v>
      </c>
      <c r="L2" s="17">
        <f t="shared" ref="L2:L3" si="1">D2*J2</f>
        <v>10000</v>
      </c>
    </row>
    <row r="3">
      <c r="A3" s="143"/>
      <c r="B3" s="143" t="s">
        <v>483</v>
      </c>
      <c r="C3" s="143" t="s">
        <v>483</v>
      </c>
      <c r="D3" s="143">
        <v>0.0</v>
      </c>
      <c r="E3" s="1"/>
      <c r="F3" s="1"/>
      <c r="G3" s="7"/>
      <c r="L3" s="17">
        <f t="shared" si="1"/>
        <v>0</v>
      </c>
    </row>
    <row r="4">
      <c r="A4" s="143" t="s">
        <v>23</v>
      </c>
      <c r="B4" s="143"/>
      <c r="C4" s="143"/>
      <c r="D4" s="143"/>
      <c r="E4" s="143" t="s">
        <v>509</v>
      </c>
      <c r="F4" s="144">
        <v>11600.0</v>
      </c>
      <c r="G4" s="7">
        <f>F4/D2</f>
        <v>0.232</v>
      </c>
      <c r="H4" s="1" t="s">
        <v>510</v>
      </c>
    </row>
    <row r="5">
      <c r="A5" s="143" t="s">
        <v>23</v>
      </c>
      <c r="B5" s="143"/>
      <c r="C5" s="143"/>
      <c r="D5" s="143"/>
      <c r="E5" s="143" t="s">
        <v>502</v>
      </c>
      <c r="F5" s="143">
        <v>10000.0</v>
      </c>
      <c r="G5" s="7">
        <f>F5/D2</f>
        <v>0.2</v>
      </c>
      <c r="H5" s="1" t="s">
        <v>511</v>
      </c>
    </row>
    <row r="6">
      <c r="A6" s="143"/>
      <c r="B6" s="143"/>
      <c r="C6" s="143"/>
      <c r="D6" s="143"/>
      <c r="E6" s="143"/>
      <c r="F6" s="143"/>
      <c r="G6" s="7"/>
    </row>
    <row r="7">
      <c r="A7" s="143"/>
      <c r="B7" s="143"/>
      <c r="C7" s="143"/>
      <c r="D7" s="143"/>
      <c r="E7" s="143"/>
      <c r="F7" s="143"/>
      <c r="G7" s="7"/>
    </row>
    <row r="8">
      <c r="A8" s="143"/>
      <c r="B8" s="143"/>
      <c r="C8" s="143"/>
      <c r="D8" s="143"/>
      <c r="E8" s="143"/>
      <c r="F8" s="143"/>
      <c r="G8" s="7"/>
    </row>
    <row r="9">
      <c r="D9" s="11"/>
    </row>
    <row r="10">
      <c r="D10" s="14"/>
    </row>
    <row r="13">
      <c r="L13" s="17">
        <f>SUM(L2:L11)</f>
        <v>10000</v>
      </c>
    </row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>
      <c r="L29" s="47" t="s">
        <v>69</v>
      </c>
    </row>
    <row r="30" hidden="1">
      <c r="L30" s="124">
        <f>J51/3</f>
        <v>11133.33333</v>
      </c>
      <c r="M30" s="1" t="s">
        <v>79</v>
      </c>
    </row>
    <row r="31" hidden="1">
      <c r="L31" s="124">
        <f>L30</f>
        <v>11133.33333</v>
      </c>
      <c r="M31" s="1" t="s">
        <v>82</v>
      </c>
    </row>
    <row r="33">
      <c r="D33" s="14"/>
      <c r="G33" s="15" t="s">
        <v>472</v>
      </c>
      <c r="H33" s="1" t="s">
        <v>473</v>
      </c>
      <c r="J33" s="59" t="s">
        <v>474</v>
      </c>
    </row>
    <row r="34">
      <c r="D34" s="19">
        <f>SUM(D2:D33)</f>
        <v>50000</v>
      </c>
      <c r="F34" s="40">
        <f>SUM(F2:F9)</f>
        <v>21600</v>
      </c>
      <c r="G34" s="18">
        <f>SUM(G4:G8)</f>
        <v>0.432</v>
      </c>
      <c r="H34" s="145">
        <f>D34-F34</f>
        <v>28400</v>
      </c>
      <c r="J34" s="59">
        <f>H34*2/100</f>
        <v>568</v>
      </c>
    </row>
    <row r="35">
      <c r="D35" s="11" t="s">
        <v>512</v>
      </c>
      <c r="I35" s="15" t="s">
        <v>498</v>
      </c>
      <c r="J35" s="59">
        <f>D34*2/100</f>
        <v>1000</v>
      </c>
    </row>
    <row r="36">
      <c r="D36" s="14"/>
      <c r="J36" s="59"/>
    </row>
    <row r="37">
      <c r="D37" s="14"/>
    </row>
    <row r="38">
      <c r="D38" s="14"/>
    </row>
    <row r="39">
      <c r="D39" s="14"/>
    </row>
    <row r="40">
      <c r="C40" s="22" t="s">
        <v>492</v>
      </c>
      <c r="D40" s="23"/>
      <c r="E40" s="23"/>
      <c r="F40" s="23"/>
      <c r="G40" s="23"/>
      <c r="H40" s="23"/>
      <c r="I40" s="23"/>
      <c r="J40" s="24"/>
    </row>
    <row r="41">
      <c r="C41" s="27"/>
      <c r="D41" s="28"/>
      <c r="E41" s="28"/>
      <c r="F41" s="28"/>
      <c r="G41" s="28"/>
      <c r="H41" s="28"/>
      <c r="I41" s="28"/>
      <c r="J41" s="29"/>
    </row>
    <row r="42">
      <c r="C42" s="10"/>
      <c r="D42" s="10" t="s">
        <v>49</v>
      </c>
      <c r="E42" s="10" t="s">
        <v>51</v>
      </c>
      <c r="F42" s="10" t="s">
        <v>52</v>
      </c>
      <c r="G42" s="10"/>
      <c r="H42" s="10" t="s">
        <v>352</v>
      </c>
      <c r="I42" s="10" t="s">
        <v>56</v>
      </c>
      <c r="J42" s="10" t="s">
        <v>57</v>
      </c>
    </row>
    <row r="43">
      <c r="C43" s="1" t="s">
        <v>59</v>
      </c>
      <c r="D43" s="11">
        <f>SUM(D2:D3)</f>
        <v>50000</v>
      </c>
      <c r="E43" s="1">
        <v>2.0</v>
      </c>
      <c r="F43" s="38">
        <v>5.0</v>
      </c>
      <c r="H43" s="17">
        <f>D43*E43/100</f>
        <v>1000</v>
      </c>
      <c r="I43" s="17">
        <f>H43*F43</f>
        <v>5000</v>
      </c>
      <c r="J43" s="14">
        <f>D43+I43</f>
        <v>55000</v>
      </c>
    </row>
    <row r="44">
      <c r="D44" s="11"/>
      <c r="F44" s="38"/>
    </row>
    <row r="45">
      <c r="D45" s="11"/>
      <c r="F45" s="38"/>
    </row>
    <row r="46">
      <c r="D46" s="14"/>
      <c r="F46" s="40"/>
    </row>
    <row r="47">
      <c r="D47" s="14"/>
      <c r="F47" s="40"/>
      <c r="J47" s="19">
        <f>SUM(J43:J45)</f>
        <v>55000</v>
      </c>
    </row>
    <row r="48">
      <c r="D48" s="14"/>
      <c r="F48" s="40"/>
    </row>
    <row r="49">
      <c r="H49" s="39" t="s">
        <v>62</v>
      </c>
      <c r="J49" s="95">
        <f>F34</f>
        <v>21600</v>
      </c>
    </row>
    <row r="51">
      <c r="H51" s="146" t="s">
        <v>493</v>
      </c>
      <c r="I51" s="147"/>
      <c r="J51" s="148">
        <f>J47-J49</f>
        <v>33400</v>
      </c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mergeCells count="1">
    <mergeCell ref="C40:J41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23.75"/>
    <col customWidth="1" min="4" max="4" width="18.25"/>
    <col customWidth="1" min="5" max="5" width="16.13"/>
    <col customWidth="1" min="6" max="6" width="15.88"/>
    <col customWidth="1" min="7" max="7" width="22.0"/>
    <col customWidth="1" min="8" max="8" width="12.5"/>
  </cols>
  <sheetData>
    <row r="1">
      <c r="A1" s="2" t="s">
        <v>0</v>
      </c>
      <c r="B1" s="2" t="s">
        <v>2</v>
      </c>
      <c r="C1" s="4" t="s">
        <v>3</v>
      </c>
      <c r="D1" s="5" t="s">
        <v>4</v>
      </c>
      <c r="E1" s="2" t="s">
        <v>5</v>
      </c>
      <c r="F1" s="4" t="s">
        <v>6</v>
      </c>
      <c r="G1" s="6"/>
      <c r="H1" s="2" t="s">
        <v>13</v>
      </c>
      <c r="I1" s="8"/>
      <c r="J1" s="6"/>
      <c r="K1" s="2"/>
      <c r="L1" s="2"/>
    </row>
    <row r="2">
      <c r="A2" s="1" t="s">
        <v>306</v>
      </c>
      <c r="B2" s="1" t="s">
        <v>513</v>
      </c>
      <c r="C2" s="1" t="s">
        <v>514</v>
      </c>
      <c r="D2" s="1">
        <v>10000.0</v>
      </c>
      <c r="E2" s="1"/>
      <c r="F2" s="1"/>
      <c r="H2" s="7">
        <v>0.02</v>
      </c>
    </row>
    <row r="3">
      <c r="A3" s="1" t="s">
        <v>306</v>
      </c>
      <c r="B3" s="1" t="s">
        <v>515</v>
      </c>
      <c r="C3" s="1" t="s">
        <v>514</v>
      </c>
      <c r="D3" s="1">
        <v>25000.0</v>
      </c>
      <c r="E3" s="1" t="s">
        <v>516</v>
      </c>
      <c r="F3" s="1">
        <v>500.0</v>
      </c>
      <c r="G3" s="1" t="s">
        <v>517</v>
      </c>
    </row>
    <row r="4">
      <c r="A4" s="1" t="s">
        <v>306</v>
      </c>
      <c r="B4" s="1" t="s">
        <v>518</v>
      </c>
      <c r="D4" s="1">
        <v>10000.0</v>
      </c>
      <c r="E4" s="1" t="s">
        <v>519</v>
      </c>
      <c r="F4" s="1">
        <v>500.0</v>
      </c>
      <c r="G4" s="1" t="s">
        <v>517</v>
      </c>
    </row>
    <row r="5">
      <c r="E5" s="1" t="s">
        <v>520</v>
      </c>
      <c r="F5" s="1">
        <v>500.0</v>
      </c>
      <c r="G5" s="1" t="s">
        <v>517</v>
      </c>
    </row>
    <row r="6">
      <c r="E6" s="1" t="s">
        <v>521</v>
      </c>
      <c r="F6" s="1">
        <v>6041.0</v>
      </c>
      <c r="G6" s="1" t="s">
        <v>517</v>
      </c>
    </row>
    <row r="7">
      <c r="E7" s="1" t="s">
        <v>522</v>
      </c>
      <c r="F7" s="1">
        <v>500.0</v>
      </c>
      <c r="G7" s="1" t="s">
        <v>517</v>
      </c>
    </row>
    <row r="8">
      <c r="E8" s="1" t="s">
        <v>522</v>
      </c>
      <c r="F8" s="1">
        <v>8333.0</v>
      </c>
      <c r="G8" s="1" t="s">
        <v>517</v>
      </c>
    </row>
    <row r="9">
      <c r="E9" s="1" t="s">
        <v>523</v>
      </c>
      <c r="F9" s="1">
        <v>500.0</v>
      </c>
      <c r="G9" s="1" t="s">
        <v>517</v>
      </c>
    </row>
    <row r="10">
      <c r="E10" s="1" t="s">
        <v>524</v>
      </c>
      <c r="F10" s="1">
        <v>8333.0</v>
      </c>
      <c r="G10" s="1" t="s">
        <v>517</v>
      </c>
    </row>
    <row r="11">
      <c r="E11" s="1" t="s">
        <v>525</v>
      </c>
      <c r="F11" s="1">
        <v>8333.0</v>
      </c>
      <c r="G11" s="1" t="s">
        <v>517</v>
      </c>
    </row>
    <row r="12">
      <c r="E12" s="1" t="s">
        <v>525</v>
      </c>
      <c r="F12" s="1">
        <v>3000.0</v>
      </c>
      <c r="G12" s="1" t="s">
        <v>517</v>
      </c>
    </row>
    <row r="13">
      <c r="E13" s="1" t="s">
        <v>525</v>
      </c>
      <c r="F13" s="1">
        <v>500.0</v>
      </c>
      <c r="G13" s="1" t="s">
        <v>517</v>
      </c>
    </row>
    <row r="15">
      <c r="H15" s="1" t="s">
        <v>26</v>
      </c>
    </row>
    <row r="16">
      <c r="C16" s="1" t="s">
        <v>526</v>
      </c>
      <c r="D16" s="17">
        <f>SUM(D2:D13)</f>
        <v>45000</v>
      </c>
      <c r="F16" s="17">
        <f>SUM(F2:F13)</f>
        <v>37040</v>
      </c>
      <c r="H16" s="18">
        <f>F16/D16</f>
        <v>0.8231111111</v>
      </c>
    </row>
    <row r="17">
      <c r="E17" s="1"/>
      <c r="F17" s="1"/>
      <c r="H17" s="1"/>
    </row>
    <row r="20">
      <c r="C20" s="149" t="s">
        <v>527</v>
      </c>
      <c r="D20" s="147">
        <f>Sum(D16:D18)</f>
        <v>45000</v>
      </c>
      <c r="E20" s="149" t="s">
        <v>530</v>
      </c>
      <c r="F20" s="150">
        <f>D20-F16</f>
        <v>7960</v>
      </c>
    </row>
    <row r="22">
      <c r="B22" s="22" t="s">
        <v>41</v>
      </c>
      <c r="C22" s="23"/>
      <c r="D22" s="23"/>
      <c r="E22" s="23"/>
      <c r="F22" s="23"/>
      <c r="G22" s="23"/>
      <c r="H22" s="23"/>
      <c r="I22" s="24"/>
    </row>
    <row r="23">
      <c r="B23" s="27"/>
      <c r="C23" s="28"/>
      <c r="D23" s="28"/>
      <c r="E23" s="28"/>
      <c r="F23" s="28"/>
      <c r="G23" s="28"/>
      <c r="H23" s="28"/>
      <c r="I23" s="29"/>
    </row>
    <row r="24">
      <c r="B24" s="32"/>
      <c r="C24" s="32" t="s">
        <v>49</v>
      </c>
      <c r="D24" s="34" t="s">
        <v>51</v>
      </c>
      <c r="E24" s="32" t="s">
        <v>52</v>
      </c>
      <c r="F24" s="32"/>
      <c r="G24" s="32" t="s">
        <v>54</v>
      </c>
      <c r="H24" s="32" t="s">
        <v>56</v>
      </c>
      <c r="I24" s="37" t="s">
        <v>57</v>
      </c>
    </row>
    <row r="25">
      <c r="A25" s="151">
        <v>45589.0</v>
      </c>
      <c r="B25" s="15" t="s">
        <v>59</v>
      </c>
      <c r="C25" s="53">
        <f t="shared" ref="C25:C27" si="1">D2</f>
        <v>10000</v>
      </c>
      <c r="D25" s="53">
        <v>2.0</v>
      </c>
      <c r="E25" s="152">
        <v>8.0</v>
      </c>
      <c r="F25" s="20"/>
      <c r="G25" s="20">
        <f t="shared" ref="G25:G27" si="2">C25*D25/100</f>
        <v>200</v>
      </c>
      <c r="H25" s="20">
        <f t="shared" ref="H25:H27" si="3">G25*E25</f>
        <v>1600</v>
      </c>
      <c r="I25" s="12">
        <f>F20+H30</f>
        <v>14060</v>
      </c>
    </row>
    <row r="26">
      <c r="A26" s="151">
        <v>45650.0</v>
      </c>
      <c r="B26" s="15" t="s">
        <v>111</v>
      </c>
      <c r="C26" s="20">
        <f t="shared" si="1"/>
        <v>25000</v>
      </c>
      <c r="D26" s="15">
        <v>2.0</v>
      </c>
      <c r="E26" s="15">
        <v>7.0</v>
      </c>
      <c r="F26" s="20"/>
      <c r="G26" s="20">
        <f t="shared" si="2"/>
        <v>500</v>
      </c>
      <c r="H26" s="20">
        <f t="shared" si="3"/>
        <v>3500</v>
      </c>
      <c r="I26" s="20"/>
    </row>
    <row r="27">
      <c r="A27" s="151">
        <v>45741.0</v>
      </c>
      <c r="B27" s="15" t="s">
        <v>113</v>
      </c>
      <c r="C27" s="20">
        <f t="shared" si="1"/>
        <v>10000</v>
      </c>
      <c r="D27" s="15">
        <v>2.0</v>
      </c>
      <c r="E27" s="15">
        <v>5.0</v>
      </c>
      <c r="F27" s="20"/>
      <c r="G27" s="20">
        <f t="shared" si="2"/>
        <v>200</v>
      </c>
      <c r="H27" s="20">
        <f t="shared" si="3"/>
        <v>1000</v>
      </c>
      <c r="I27" s="20"/>
    </row>
    <row r="28">
      <c r="A28" s="20"/>
      <c r="B28" s="20"/>
      <c r="C28" s="20"/>
      <c r="D28" s="20"/>
      <c r="E28" s="20"/>
      <c r="F28" s="20"/>
      <c r="G28" s="20"/>
      <c r="H28" s="20"/>
      <c r="I28" s="20"/>
    </row>
    <row r="29">
      <c r="A29" s="20"/>
      <c r="B29" s="20"/>
      <c r="C29" s="20"/>
      <c r="D29" s="20"/>
      <c r="E29" s="20"/>
      <c r="F29" s="20"/>
      <c r="G29" s="20"/>
      <c r="H29" s="20"/>
      <c r="I29" s="20"/>
    </row>
    <row r="30">
      <c r="A30" s="20"/>
      <c r="B30" s="20"/>
      <c r="C30" s="20"/>
      <c r="D30" s="20"/>
      <c r="E30" s="20"/>
      <c r="F30" s="20"/>
      <c r="G30" s="15" t="s">
        <v>552</v>
      </c>
      <c r="H30" s="20">
        <f>SUM(H25:H27)</f>
        <v>6100</v>
      </c>
      <c r="I30" s="20"/>
    </row>
  </sheetData>
  <mergeCells count="1">
    <mergeCell ref="B22:I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2.75"/>
    <col customWidth="1" min="3" max="3" width="19.88"/>
    <col customWidth="1" min="4" max="4" width="20.5"/>
    <col customWidth="1" min="5" max="5" width="17.38"/>
    <col customWidth="1" min="6" max="6" width="41.25"/>
    <col customWidth="1" min="8" max="8" width="24.13"/>
    <col customWidth="1" min="9" max="9" width="24.75"/>
    <col customWidth="1" min="11" max="11" width="19.63"/>
  </cols>
  <sheetData>
    <row r="1">
      <c r="A1" s="2" t="s">
        <v>0</v>
      </c>
      <c r="B1" s="2" t="s">
        <v>528</v>
      </c>
      <c r="C1" s="4" t="s">
        <v>3</v>
      </c>
      <c r="D1" s="5" t="s">
        <v>4</v>
      </c>
      <c r="E1" s="2" t="s">
        <v>5</v>
      </c>
      <c r="F1" s="4" t="s">
        <v>6</v>
      </c>
      <c r="G1" s="6"/>
      <c r="H1" s="2" t="s">
        <v>529</v>
      </c>
      <c r="I1" s="8"/>
      <c r="J1" s="6"/>
      <c r="K1" s="2"/>
      <c r="L1" s="2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" t="s">
        <v>306</v>
      </c>
      <c r="B2" s="1" t="s">
        <v>531</v>
      </c>
      <c r="C2" s="1" t="s">
        <v>532</v>
      </c>
      <c r="D2" s="1">
        <v>25000.0</v>
      </c>
      <c r="E2" s="1" t="s">
        <v>533</v>
      </c>
      <c r="F2" s="1">
        <v>4166.65</v>
      </c>
      <c r="G2" s="1" t="s">
        <v>534</v>
      </c>
    </row>
    <row r="3">
      <c r="A3" s="1" t="s">
        <v>307</v>
      </c>
      <c r="B3" s="1" t="s">
        <v>535</v>
      </c>
      <c r="C3" s="1" t="s">
        <v>536</v>
      </c>
      <c r="D3" s="1">
        <v>50000.0</v>
      </c>
      <c r="E3" s="1" t="s">
        <v>522</v>
      </c>
      <c r="F3" s="1">
        <v>8333.0</v>
      </c>
      <c r="G3" s="1" t="s">
        <v>537</v>
      </c>
    </row>
    <row r="4">
      <c r="A4" s="1" t="s">
        <v>307</v>
      </c>
      <c r="B4" s="1" t="s">
        <v>538</v>
      </c>
      <c r="C4" s="1" t="s">
        <v>536</v>
      </c>
      <c r="D4" s="1">
        <v>50000.0</v>
      </c>
      <c r="E4" s="1" t="s">
        <v>539</v>
      </c>
      <c r="F4" s="1">
        <v>20830.0</v>
      </c>
      <c r="G4" s="1" t="s">
        <v>540</v>
      </c>
    </row>
    <row r="5">
      <c r="E5" s="1" t="s">
        <v>541</v>
      </c>
      <c r="F5" s="1">
        <v>8333.0</v>
      </c>
      <c r="G5" s="1" t="s">
        <v>540</v>
      </c>
      <c r="L5" s="1" t="s">
        <v>542</v>
      </c>
    </row>
    <row r="6">
      <c r="E6" s="1" t="s">
        <v>543</v>
      </c>
      <c r="F6" s="1">
        <v>23300.0</v>
      </c>
      <c r="G6" s="1" t="s">
        <v>544</v>
      </c>
      <c r="K6" s="1">
        <v>1.0</v>
      </c>
      <c r="L6" s="1" t="s">
        <v>545</v>
      </c>
    </row>
    <row r="7">
      <c r="E7" s="1" t="s">
        <v>543</v>
      </c>
      <c r="F7" s="1">
        <v>8333.0</v>
      </c>
      <c r="G7" s="1" t="s">
        <v>546</v>
      </c>
      <c r="K7" s="1">
        <v>2.0</v>
      </c>
      <c r="L7" s="1" t="s">
        <v>547</v>
      </c>
    </row>
    <row r="8">
      <c r="E8" s="1" t="s">
        <v>548</v>
      </c>
      <c r="F8" s="1">
        <v>8330.0</v>
      </c>
      <c r="G8" s="1" t="s">
        <v>546</v>
      </c>
      <c r="K8" s="1">
        <v>3.0</v>
      </c>
      <c r="L8" s="1" t="s">
        <v>549</v>
      </c>
    </row>
    <row r="9">
      <c r="B9" s="153"/>
      <c r="K9" s="1">
        <v>4.0</v>
      </c>
      <c r="L9" s="1" t="s">
        <v>550</v>
      </c>
    </row>
    <row r="10">
      <c r="K10" s="1">
        <v>5.0</v>
      </c>
      <c r="L10" s="1" t="s">
        <v>551</v>
      </c>
    </row>
    <row r="11">
      <c r="B11" s="92"/>
      <c r="K11" s="1">
        <v>6.0</v>
      </c>
      <c r="L11" s="1" t="s">
        <v>231</v>
      </c>
    </row>
    <row r="12">
      <c r="K12" s="1">
        <v>7.0</v>
      </c>
      <c r="L12" s="1" t="s">
        <v>232</v>
      </c>
    </row>
    <row r="15">
      <c r="D15" s="154">
        <f>sum(D2:D11)</f>
        <v>125000</v>
      </c>
      <c r="E15" s="55"/>
      <c r="F15" s="154">
        <f>sum(F2:F11)</f>
        <v>81625.65</v>
      </c>
      <c r="H15" s="155">
        <f>F15/D15*100</f>
        <v>65.30052</v>
      </c>
      <c r="I15" s="55">
        <f>D15-F15</f>
        <v>43374.35</v>
      </c>
    </row>
    <row r="16">
      <c r="A16" s="1"/>
    </row>
    <row r="18" hidden="1"/>
    <row r="19" hidden="1"/>
    <row r="21">
      <c r="A21" s="45"/>
      <c r="B21" s="22" t="s">
        <v>553</v>
      </c>
      <c r="C21" s="23"/>
      <c r="D21" s="23"/>
      <c r="E21" s="23"/>
      <c r="F21" s="23"/>
      <c r="G21" s="23"/>
      <c r="H21" s="23"/>
      <c r="I21" s="24"/>
      <c r="K21" s="156" t="s">
        <v>554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B22" s="27"/>
      <c r="C22" s="28"/>
      <c r="D22" s="28"/>
      <c r="E22" s="28"/>
      <c r="F22" s="28"/>
      <c r="G22" s="28"/>
      <c r="H22" s="28"/>
      <c r="I22" s="29"/>
      <c r="K22" s="157"/>
    </row>
    <row r="23">
      <c r="B23" s="158" t="s">
        <v>555</v>
      </c>
      <c r="C23" s="159" t="s">
        <v>49</v>
      </c>
      <c r="D23" s="159" t="s">
        <v>51</v>
      </c>
      <c r="E23" s="159" t="s">
        <v>52</v>
      </c>
      <c r="F23" s="159" t="s">
        <v>556</v>
      </c>
      <c r="G23" s="159" t="s">
        <v>352</v>
      </c>
      <c r="H23" s="159" t="s">
        <v>56</v>
      </c>
      <c r="I23" s="160" t="s">
        <v>57</v>
      </c>
    </row>
    <row r="24">
      <c r="B24" s="1" t="s">
        <v>59</v>
      </c>
      <c r="C24" s="11">
        <v>25000.0</v>
      </c>
      <c r="D24" s="1">
        <v>2.0</v>
      </c>
      <c r="E24" s="11">
        <v>9.04</v>
      </c>
      <c r="F24" s="17">
        <f>SUM(F2+F3+F5+F7+F8)</f>
        <v>37495.65</v>
      </c>
      <c r="G24" s="17">
        <f t="shared" ref="G24:G26" si="1">C24*D24/100</f>
        <v>500</v>
      </c>
      <c r="H24" s="17">
        <f t="shared" ref="H24:H26" si="2">E24*G24</f>
        <v>4520</v>
      </c>
      <c r="I24" s="14">
        <f t="shared" ref="I24:I26" si="3">H24+K24</f>
        <v>-7975.65</v>
      </c>
      <c r="K24" s="14">
        <f t="shared" ref="K24:K26" si="4">C24-F24</f>
        <v>-12495.65</v>
      </c>
    </row>
    <row r="25">
      <c r="B25" s="1" t="s">
        <v>111</v>
      </c>
      <c r="C25" s="11">
        <v>50000.0</v>
      </c>
      <c r="D25" s="1">
        <v>2.0</v>
      </c>
      <c r="E25" s="11">
        <v>7.5</v>
      </c>
      <c r="F25" s="17">
        <f>SUM(F4+F6)</f>
        <v>44130</v>
      </c>
      <c r="G25" s="17">
        <f t="shared" si="1"/>
        <v>1000</v>
      </c>
      <c r="H25" s="17">
        <f t="shared" si="2"/>
        <v>7500</v>
      </c>
      <c r="I25" s="14">
        <f t="shared" si="3"/>
        <v>13370</v>
      </c>
      <c r="K25" s="14">
        <f t="shared" si="4"/>
        <v>5870</v>
      </c>
    </row>
    <row r="26">
      <c r="B26" s="1" t="s">
        <v>557</v>
      </c>
      <c r="C26" s="11">
        <v>50000.0</v>
      </c>
      <c r="D26" s="1">
        <v>2.0</v>
      </c>
      <c r="E26" s="11">
        <v>7.5</v>
      </c>
      <c r="F26" s="1">
        <v>0.0</v>
      </c>
      <c r="G26" s="17">
        <f t="shared" si="1"/>
        <v>1000</v>
      </c>
      <c r="H26" s="17">
        <f t="shared" si="2"/>
        <v>7500</v>
      </c>
      <c r="I26" s="14">
        <f t="shared" si="3"/>
        <v>57500</v>
      </c>
      <c r="K26" s="14">
        <f t="shared" si="4"/>
        <v>50000</v>
      </c>
    </row>
    <row r="27">
      <c r="C27" s="14"/>
      <c r="E27" s="40"/>
    </row>
    <row r="28">
      <c r="C28" s="14"/>
      <c r="E28" s="40"/>
      <c r="I28" s="19">
        <f>SUM(I24:I26)</f>
        <v>62894.35</v>
      </c>
    </row>
    <row r="29">
      <c r="C29" s="14"/>
      <c r="E29" s="40"/>
    </row>
    <row r="30">
      <c r="G30" s="39" t="s">
        <v>62</v>
      </c>
      <c r="I30" s="154">
        <f>F15</f>
        <v>81625.65</v>
      </c>
    </row>
    <row r="32">
      <c r="G32" s="39"/>
      <c r="H32" s="20">
        <f>SUM(H24:H26)</f>
        <v>19520</v>
      </c>
      <c r="I32" s="161">
        <f>I15</f>
        <v>43374.35</v>
      </c>
      <c r="K32" s="47" t="s">
        <v>69</v>
      </c>
    </row>
    <row r="33">
      <c r="A33" s="20"/>
      <c r="K33" s="124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C34" s="14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C35" s="14"/>
      <c r="H35" s="1" t="s">
        <v>558</v>
      </c>
      <c r="I35" s="154">
        <f>I32+H32</f>
        <v>62894.35</v>
      </c>
    </row>
    <row r="36">
      <c r="C36" s="14"/>
    </row>
  </sheetData>
  <mergeCells count="2">
    <mergeCell ref="B21:I22"/>
    <mergeCell ref="K21:K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37.6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43" t="s">
        <v>306</v>
      </c>
      <c r="B2" s="1" t="s">
        <v>559</v>
      </c>
      <c r="C2" s="15" t="s">
        <v>560</v>
      </c>
      <c r="D2" s="53">
        <v>5000.0</v>
      </c>
      <c r="F2" s="40"/>
      <c r="J2" s="94">
        <v>0.1</v>
      </c>
      <c r="L2" s="17">
        <f t="shared" ref="L2:L3" si="1">D2*J2</f>
        <v>500</v>
      </c>
    </row>
    <row r="3">
      <c r="A3" s="143" t="s">
        <v>306</v>
      </c>
      <c r="B3" s="143" t="s">
        <v>561</v>
      </c>
      <c r="C3" s="15" t="s">
        <v>560</v>
      </c>
      <c r="D3" s="53">
        <v>12500.0</v>
      </c>
      <c r="E3" s="143"/>
      <c r="F3" s="144"/>
      <c r="G3" s="7"/>
      <c r="J3" s="94">
        <v>0.2</v>
      </c>
      <c r="L3" s="17">
        <f t="shared" si="1"/>
        <v>2500</v>
      </c>
    </row>
    <row r="4">
      <c r="A4" s="143" t="s">
        <v>23</v>
      </c>
      <c r="B4" s="143" t="s">
        <v>483</v>
      </c>
      <c r="C4" s="143" t="s">
        <v>483</v>
      </c>
      <c r="D4" s="143">
        <v>0.0</v>
      </c>
      <c r="E4" s="143" t="s">
        <v>561</v>
      </c>
      <c r="F4" s="143">
        <v>500.0</v>
      </c>
      <c r="G4" s="7">
        <v>0.1</v>
      </c>
    </row>
    <row r="5">
      <c r="A5" s="143" t="s">
        <v>23</v>
      </c>
      <c r="B5" s="143" t="s">
        <v>483</v>
      </c>
      <c r="C5" s="143" t="s">
        <v>483</v>
      </c>
      <c r="D5" s="143">
        <v>0.0</v>
      </c>
      <c r="E5" s="143" t="s">
        <v>562</v>
      </c>
      <c r="F5" s="143">
        <f>D15*2/100</f>
        <v>350</v>
      </c>
      <c r="G5" s="7">
        <v>0.02</v>
      </c>
    </row>
    <row r="6">
      <c r="A6" s="143" t="s">
        <v>23</v>
      </c>
      <c r="B6" s="143" t="s">
        <v>483</v>
      </c>
      <c r="C6" s="143" t="s">
        <v>483</v>
      </c>
      <c r="D6" s="143">
        <v>0.0</v>
      </c>
      <c r="E6" s="143" t="s">
        <v>563</v>
      </c>
      <c r="F6" s="143">
        <v>1500.0</v>
      </c>
      <c r="G6" s="7">
        <f>F6/D15</f>
        <v>0.08571428571</v>
      </c>
    </row>
    <row r="7">
      <c r="A7" s="143" t="s">
        <v>23</v>
      </c>
      <c r="B7" s="143" t="s">
        <v>483</v>
      </c>
      <c r="C7" s="143" t="s">
        <v>483</v>
      </c>
      <c r="D7" s="143">
        <v>0.0</v>
      </c>
      <c r="E7" s="143" t="s">
        <v>564</v>
      </c>
      <c r="F7" s="143">
        <v>1500.0</v>
      </c>
      <c r="G7" s="7">
        <f>F7/D15</f>
        <v>0.08571428571</v>
      </c>
    </row>
    <row r="8">
      <c r="A8" s="143" t="s">
        <v>23</v>
      </c>
      <c r="B8" s="143" t="s">
        <v>483</v>
      </c>
      <c r="C8" s="143" t="s">
        <v>483</v>
      </c>
      <c r="D8" s="143">
        <v>0.0</v>
      </c>
      <c r="E8" s="143" t="s">
        <v>503</v>
      </c>
      <c r="F8" s="143">
        <v>3000.0</v>
      </c>
      <c r="G8" s="7">
        <f>F8/D15</f>
        <v>0.1714285714</v>
      </c>
    </row>
    <row r="9">
      <c r="A9" s="143" t="s">
        <v>23</v>
      </c>
      <c r="B9" s="143" t="s">
        <v>483</v>
      </c>
      <c r="C9" s="143" t="s">
        <v>483</v>
      </c>
      <c r="D9" s="143">
        <v>0.0</v>
      </c>
      <c r="E9" s="143" t="s">
        <v>565</v>
      </c>
      <c r="F9" s="1"/>
      <c r="G9" s="7">
        <f>F9/D15</f>
        <v>0</v>
      </c>
    </row>
    <row r="10">
      <c r="D10" s="14"/>
    </row>
    <row r="11">
      <c r="D11" s="14"/>
    </row>
    <row r="12">
      <c r="D12" s="14"/>
    </row>
    <row r="13">
      <c r="D13" s="14"/>
    </row>
    <row r="14">
      <c r="D14" s="14"/>
      <c r="G14" s="15" t="s">
        <v>472</v>
      </c>
      <c r="H14" s="1" t="s">
        <v>473</v>
      </c>
      <c r="J14" s="59" t="s">
        <v>474</v>
      </c>
    </row>
    <row r="15">
      <c r="D15" s="19">
        <f>SUM(D2:D14)</f>
        <v>17500</v>
      </c>
      <c r="F15" s="40">
        <f>SUM(F2:F9)</f>
        <v>6850</v>
      </c>
      <c r="G15" s="18">
        <f>SUM(G3:G8)</f>
        <v>0.4628571429</v>
      </c>
      <c r="H15" s="145">
        <f>D15-F15</f>
        <v>10650</v>
      </c>
      <c r="J15" s="59">
        <f>H15*2/100</f>
        <v>213</v>
      </c>
    </row>
    <row r="16">
      <c r="D16" s="14"/>
      <c r="I16" s="15"/>
      <c r="J16" s="59">
        <f>D15*2/100</f>
        <v>350</v>
      </c>
      <c r="L16" s="17">
        <f>SUM(L2:L14)</f>
        <v>3000</v>
      </c>
    </row>
    <row r="17">
      <c r="D17" s="14"/>
      <c r="J17" s="59"/>
    </row>
    <row r="18">
      <c r="D18" s="14"/>
    </row>
    <row r="19">
      <c r="D19" s="14"/>
    </row>
    <row r="20">
      <c r="D20" s="14"/>
    </row>
    <row r="21">
      <c r="C21" s="22" t="s">
        <v>492</v>
      </c>
      <c r="D21" s="23"/>
      <c r="E21" s="23"/>
      <c r="F21" s="23"/>
      <c r="G21" s="23"/>
      <c r="H21" s="23"/>
      <c r="I21" s="23"/>
      <c r="J21" s="24"/>
    </row>
    <row r="22">
      <c r="C22" s="27"/>
      <c r="D22" s="28"/>
      <c r="E22" s="28"/>
      <c r="F22" s="28"/>
      <c r="G22" s="28"/>
      <c r="H22" s="28"/>
      <c r="I22" s="28"/>
      <c r="J22" s="29"/>
    </row>
    <row r="23">
      <c r="C23" s="10"/>
      <c r="D23" s="10" t="s">
        <v>49</v>
      </c>
      <c r="E23" s="10" t="s">
        <v>51</v>
      </c>
      <c r="F23" s="10" t="s">
        <v>52</v>
      </c>
      <c r="G23" s="10"/>
      <c r="H23" s="10" t="s">
        <v>352</v>
      </c>
      <c r="I23" s="10" t="s">
        <v>56</v>
      </c>
      <c r="J23" s="10" t="s">
        <v>57</v>
      </c>
    </row>
    <row r="24">
      <c r="C24" s="1" t="s">
        <v>59</v>
      </c>
      <c r="D24" s="11">
        <f>SUM(D2:D3)</f>
        <v>17500</v>
      </c>
      <c r="E24" s="1">
        <v>2.0</v>
      </c>
      <c r="F24" s="38">
        <v>2.0</v>
      </c>
      <c r="H24" s="17">
        <f>D24*E24/100</f>
        <v>350</v>
      </c>
      <c r="I24" s="17">
        <f>H24*F24</f>
        <v>700</v>
      </c>
      <c r="J24" s="14">
        <f>D24+I24</f>
        <v>18200</v>
      </c>
    </row>
    <row r="25">
      <c r="D25" s="11"/>
      <c r="F25" s="38"/>
    </row>
    <row r="26">
      <c r="D26" s="11"/>
      <c r="F26" s="38"/>
    </row>
    <row r="27">
      <c r="D27" s="14"/>
      <c r="F27" s="40"/>
    </row>
    <row r="28">
      <c r="D28" s="14"/>
      <c r="F28" s="40"/>
      <c r="J28" s="19">
        <f>SUM(J24:J26)</f>
        <v>18200</v>
      </c>
    </row>
    <row r="29">
      <c r="D29" s="14"/>
      <c r="F29" s="40"/>
    </row>
    <row r="30">
      <c r="H30" s="39" t="s">
        <v>62</v>
      </c>
      <c r="J30" s="95">
        <f>F15</f>
        <v>6850</v>
      </c>
    </row>
    <row r="32">
      <c r="H32" s="146" t="s">
        <v>493</v>
      </c>
      <c r="I32" s="147"/>
      <c r="J32" s="148">
        <f>J28-J30</f>
        <v>11350</v>
      </c>
      <c r="L32" s="47" t="s">
        <v>69</v>
      </c>
    </row>
    <row r="33">
      <c r="L33" s="124">
        <f>J32/3</f>
        <v>3783.333333</v>
      </c>
      <c r="M33" s="1" t="s">
        <v>79</v>
      </c>
    </row>
    <row r="34">
      <c r="D34" s="14"/>
      <c r="L34" s="124">
        <f t="shared" ref="L34:L35" si="2">L33</f>
        <v>3783.333333</v>
      </c>
      <c r="M34" s="1" t="s">
        <v>82</v>
      </c>
    </row>
    <row r="35">
      <c r="D35" s="14"/>
      <c r="L35" s="124">
        <f t="shared" si="2"/>
        <v>3783.333333</v>
      </c>
      <c r="M35" s="1" t="s">
        <v>84</v>
      </c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</sheetData>
  <mergeCells count="1">
    <mergeCell ref="C21:J22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17.6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43" t="s">
        <v>306</v>
      </c>
      <c r="B2" s="1" t="s">
        <v>566</v>
      </c>
      <c r="C2" s="15" t="s">
        <v>567</v>
      </c>
      <c r="D2" s="53">
        <v>10000.0</v>
      </c>
      <c r="F2" s="40"/>
      <c r="J2" s="94">
        <v>0.14</v>
      </c>
      <c r="L2" s="17">
        <f>D2*J2</f>
        <v>1400</v>
      </c>
    </row>
    <row r="3">
      <c r="A3" s="143" t="s">
        <v>504</v>
      </c>
      <c r="B3" s="143" t="s">
        <v>483</v>
      </c>
      <c r="C3" s="15"/>
      <c r="D3" s="53"/>
      <c r="E3" s="143" t="s">
        <v>568</v>
      </c>
      <c r="F3" s="144">
        <v>2500.0</v>
      </c>
      <c r="G3" s="7">
        <f>F3/D12</f>
        <v>0.25</v>
      </c>
      <c r="J3" s="94"/>
    </row>
    <row r="4">
      <c r="A4" s="143" t="s">
        <v>504</v>
      </c>
      <c r="B4" s="143" t="s">
        <v>483</v>
      </c>
      <c r="C4" s="143"/>
      <c r="D4" s="143"/>
      <c r="E4" s="143" t="s">
        <v>571</v>
      </c>
      <c r="F4" s="144">
        <v>2500.0</v>
      </c>
      <c r="G4" s="7">
        <f>F4/D12</f>
        <v>0.25</v>
      </c>
    </row>
    <row r="5">
      <c r="A5" s="143"/>
      <c r="B5" s="143"/>
      <c r="C5" s="143"/>
      <c r="D5" s="143"/>
      <c r="E5" s="143"/>
      <c r="F5" s="143"/>
      <c r="G5" s="7"/>
    </row>
    <row r="6">
      <c r="A6" s="143"/>
      <c r="B6" s="143"/>
      <c r="C6" s="143"/>
      <c r="D6" s="143"/>
      <c r="E6" s="143"/>
      <c r="F6" s="143"/>
      <c r="G6" s="7"/>
    </row>
    <row r="7">
      <c r="A7" s="143"/>
      <c r="B7" s="143"/>
      <c r="C7" s="143"/>
      <c r="D7" s="143"/>
      <c r="E7" s="143"/>
      <c r="F7" s="143"/>
      <c r="G7" s="7"/>
    </row>
    <row r="8">
      <c r="A8" s="143"/>
      <c r="B8" s="143"/>
      <c r="C8" s="143"/>
      <c r="D8" s="143"/>
      <c r="E8" s="143"/>
      <c r="F8" s="143"/>
      <c r="G8" s="7"/>
    </row>
    <row r="9">
      <c r="D9" s="11"/>
    </row>
    <row r="10">
      <c r="D10" s="14"/>
    </row>
    <row r="11">
      <c r="D11" s="14"/>
      <c r="G11" s="15" t="s">
        <v>472</v>
      </c>
      <c r="H11" s="1" t="s">
        <v>473</v>
      </c>
      <c r="J11" s="59"/>
    </row>
    <row r="12">
      <c r="D12" s="19">
        <f>SUM(D2:D11)</f>
        <v>10000</v>
      </c>
      <c r="F12" s="40">
        <f>SUM(F2:F9)</f>
        <v>5000</v>
      </c>
      <c r="G12" s="18">
        <f>SUM(G3:G8)</f>
        <v>0.5</v>
      </c>
      <c r="H12" s="145">
        <f>D12-F12</f>
        <v>5000</v>
      </c>
      <c r="J12" s="59"/>
    </row>
    <row r="13">
      <c r="D13" s="14"/>
      <c r="I13" s="15"/>
      <c r="J13" s="59"/>
      <c r="L13" s="17">
        <f>SUM(L2:L11)</f>
        <v>1400</v>
      </c>
    </row>
    <row r="14">
      <c r="D14" s="14"/>
      <c r="J14" s="59"/>
    </row>
    <row r="15">
      <c r="D15" s="14"/>
    </row>
    <row r="16">
      <c r="D16" s="14"/>
    </row>
    <row r="17">
      <c r="D17" s="14"/>
    </row>
    <row r="18">
      <c r="C18" s="22" t="s">
        <v>492</v>
      </c>
      <c r="D18" s="23"/>
      <c r="E18" s="23"/>
      <c r="F18" s="23"/>
      <c r="G18" s="23"/>
      <c r="H18" s="23"/>
      <c r="I18" s="23"/>
      <c r="J18" s="24"/>
    </row>
    <row r="19">
      <c r="C19" s="27"/>
      <c r="D19" s="28"/>
      <c r="E19" s="28"/>
      <c r="F19" s="28"/>
      <c r="G19" s="28"/>
      <c r="H19" s="28"/>
      <c r="I19" s="28"/>
      <c r="J19" s="29"/>
    </row>
    <row r="20">
      <c r="C20" s="10"/>
      <c r="D20" s="10" t="s">
        <v>49</v>
      </c>
      <c r="E20" s="10" t="s">
        <v>51</v>
      </c>
      <c r="F20" s="10" t="s">
        <v>52</v>
      </c>
      <c r="G20" s="10"/>
      <c r="H20" s="10" t="s">
        <v>352</v>
      </c>
      <c r="I20" s="10" t="s">
        <v>56</v>
      </c>
      <c r="J20" s="10" t="s">
        <v>57</v>
      </c>
    </row>
    <row r="21">
      <c r="C21" s="1" t="s">
        <v>59</v>
      </c>
      <c r="D21" s="11">
        <f>SUM(D2:D3)</f>
        <v>10000</v>
      </c>
      <c r="E21" s="1">
        <v>2.0</v>
      </c>
      <c r="F21" s="38">
        <v>2.0</v>
      </c>
      <c r="H21" s="17">
        <f>D21*E21/100</f>
        <v>200</v>
      </c>
      <c r="I21" s="17">
        <f>H21*F21</f>
        <v>400</v>
      </c>
      <c r="J21" s="14">
        <f>D21+I21</f>
        <v>10400</v>
      </c>
    </row>
    <row r="22">
      <c r="D22" s="11"/>
      <c r="F22" s="38"/>
    </row>
    <row r="23">
      <c r="D23" s="11"/>
      <c r="F23" s="38"/>
    </row>
    <row r="24">
      <c r="D24" s="14"/>
      <c r="F24" s="40"/>
    </row>
    <row r="25">
      <c r="D25" s="14"/>
      <c r="F25" s="40"/>
      <c r="J25" s="19">
        <f>SUM(J21:J23)</f>
        <v>10400</v>
      </c>
    </row>
    <row r="26">
      <c r="D26" s="14"/>
      <c r="F26" s="40"/>
    </row>
    <row r="27">
      <c r="H27" s="39" t="s">
        <v>62</v>
      </c>
      <c r="J27" s="95">
        <f>F12</f>
        <v>5000</v>
      </c>
    </row>
    <row r="29">
      <c r="H29" s="146" t="s">
        <v>493</v>
      </c>
      <c r="I29" s="147"/>
      <c r="J29" s="148">
        <f>J25-J27</f>
        <v>5400</v>
      </c>
      <c r="L29" s="47" t="s">
        <v>69</v>
      </c>
    </row>
    <row r="30">
      <c r="L30" s="124">
        <f>J29/3</f>
        <v>1800</v>
      </c>
      <c r="M30" s="1" t="s">
        <v>79</v>
      </c>
    </row>
    <row r="31">
      <c r="D31" s="14"/>
      <c r="L31" s="124">
        <f t="shared" ref="L31:L32" si="1">L30</f>
        <v>1800</v>
      </c>
      <c r="M31" s="1" t="s">
        <v>82</v>
      </c>
    </row>
    <row r="32">
      <c r="D32" s="14"/>
      <c r="L32" s="124">
        <f t="shared" si="1"/>
        <v>1800</v>
      </c>
      <c r="M32" s="1" t="s">
        <v>84</v>
      </c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mergeCells count="1">
    <mergeCell ref="C18:J19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58.6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43" t="s">
        <v>306</v>
      </c>
      <c r="B2" s="1" t="s">
        <v>566</v>
      </c>
      <c r="C2" s="15" t="s">
        <v>569</v>
      </c>
      <c r="D2" s="53" t="s">
        <v>570</v>
      </c>
      <c r="F2" s="40"/>
      <c r="J2" s="94">
        <v>0.17</v>
      </c>
      <c r="L2" s="17" t="str">
        <f t="shared" ref="L2:L3" si="1">D2*J2</f>
        <v>#VALUE!</v>
      </c>
    </row>
    <row r="3">
      <c r="A3" s="143"/>
      <c r="B3" s="143"/>
      <c r="C3" s="15"/>
      <c r="D3" s="53"/>
      <c r="E3" s="143"/>
      <c r="F3" s="144"/>
      <c r="G3" s="7"/>
      <c r="J3" s="94"/>
      <c r="L3" s="17">
        <f t="shared" si="1"/>
        <v>0</v>
      </c>
    </row>
    <row r="4">
      <c r="A4" s="143"/>
      <c r="B4" s="143"/>
      <c r="C4" s="143"/>
      <c r="D4" s="143"/>
      <c r="E4" s="143"/>
      <c r="F4" s="143"/>
      <c r="G4" s="7"/>
    </row>
    <row r="5">
      <c r="A5" s="143"/>
      <c r="B5" s="143"/>
      <c r="C5" s="143"/>
      <c r="D5" s="143"/>
      <c r="E5" s="143"/>
      <c r="F5" s="143"/>
      <c r="G5" s="7"/>
    </row>
    <row r="6">
      <c r="A6" s="143"/>
      <c r="B6" s="143"/>
      <c r="C6" s="143"/>
      <c r="D6" s="143"/>
      <c r="E6" s="143"/>
      <c r="F6" s="143"/>
      <c r="G6" s="7"/>
    </row>
    <row r="7">
      <c r="A7" s="143"/>
      <c r="B7" s="143"/>
      <c r="C7" s="143"/>
      <c r="D7" s="143"/>
      <c r="E7" s="143"/>
      <c r="F7" s="143"/>
      <c r="G7" s="7"/>
    </row>
    <row r="8">
      <c r="A8" s="143"/>
      <c r="B8" s="143"/>
      <c r="C8" s="143"/>
      <c r="D8" s="143"/>
      <c r="E8" s="143"/>
      <c r="F8" s="143"/>
      <c r="G8" s="7"/>
    </row>
    <row r="9">
      <c r="D9" s="11"/>
    </row>
    <row r="10">
      <c r="D10" s="14"/>
    </row>
    <row r="11">
      <c r="D11" s="14"/>
      <c r="G11" s="15" t="s">
        <v>472</v>
      </c>
      <c r="H11" s="1" t="s">
        <v>473</v>
      </c>
      <c r="J11" s="59" t="s">
        <v>474</v>
      </c>
    </row>
    <row r="12">
      <c r="D12" s="19">
        <f>SUM(D2:D11)</f>
        <v>0</v>
      </c>
      <c r="F12" s="40">
        <f>SUM(F2:F9)</f>
        <v>0</v>
      </c>
      <c r="G12" s="18">
        <f>SUM(G3:G8)</f>
        <v>0</v>
      </c>
      <c r="H12" s="145">
        <f>D12-F12</f>
        <v>0</v>
      </c>
      <c r="J12" s="59">
        <f>H12*2/100</f>
        <v>0</v>
      </c>
    </row>
    <row r="13">
      <c r="D13" s="14"/>
      <c r="I13" s="15" t="s">
        <v>498</v>
      </c>
      <c r="J13" s="59">
        <f>D12*2/100</f>
        <v>0</v>
      </c>
      <c r="L13" s="17" t="str">
        <f>SUM(L2:L11)</f>
        <v>#VALUE!</v>
      </c>
    </row>
    <row r="14">
      <c r="D14" s="14"/>
      <c r="J14" s="59"/>
    </row>
    <row r="15">
      <c r="D15" s="14"/>
    </row>
    <row r="16">
      <c r="D16" s="14"/>
    </row>
    <row r="17">
      <c r="D17" s="14"/>
    </row>
    <row r="18">
      <c r="C18" s="22" t="s">
        <v>492</v>
      </c>
      <c r="D18" s="23"/>
      <c r="E18" s="23"/>
      <c r="F18" s="23"/>
      <c r="G18" s="23"/>
      <c r="H18" s="23"/>
      <c r="I18" s="23"/>
      <c r="J18" s="24"/>
    </row>
    <row r="19">
      <c r="C19" s="27"/>
      <c r="D19" s="28"/>
      <c r="E19" s="28"/>
      <c r="F19" s="28"/>
      <c r="G19" s="28"/>
      <c r="H19" s="28"/>
      <c r="I19" s="28"/>
      <c r="J19" s="29"/>
    </row>
    <row r="20">
      <c r="C20" s="10"/>
      <c r="D20" s="10" t="s">
        <v>49</v>
      </c>
      <c r="E20" s="10" t="s">
        <v>51</v>
      </c>
      <c r="F20" s="10" t="s">
        <v>52</v>
      </c>
      <c r="G20" s="10"/>
      <c r="H20" s="10" t="s">
        <v>352</v>
      </c>
      <c r="I20" s="10" t="s">
        <v>56</v>
      </c>
      <c r="J20" s="10" t="s">
        <v>57</v>
      </c>
    </row>
    <row r="21">
      <c r="C21" s="1" t="s">
        <v>59</v>
      </c>
      <c r="D21" s="11">
        <f>SUM(D2:D3)</f>
        <v>0</v>
      </c>
      <c r="E21" s="1">
        <v>2.0</v>
      </c>
      <c r="F21" s="38">
        <v>2.0</v>
      </c>
      <c r="H21" s="17">
        <f>D21*E21/100</f>
        <v>0</v>
      </c>
      <c r="I21" s="17">
        <f>H21*F21</f>
        <v>0</v>
      </c>
      <c r="J21" s="14">
        <f>D21+I21</f>
        <v>0</v>
      </c>
    </row>
    <row r="22">
      <c r="D22" s="11"/>
      <c r="F22" s="38"/>
    </row>
    <row r="23">
      <c r="D23" s="11"/>
      <c r="F23" s="38"/>
    </row>
    <row r="24">
      <c r="D24" s="14"/>
      <c r="F24" s="40"/>
    </row>
    <row r="25">
      <c r="D25" s="14"/>
      <c r="F25" s="40"/>
      <c r="J25" s="19">
        <f>SUM(J21:J23)</f>
        <v>0</v>
      </c>
    </row>
    <row r="26">
      <c r="D26" s="14"/>
      <c r="F26" s="40"/>
    </row>
    <row r="27">
      <c r="H27" s="39" t="s">
        <v>62</v>
      </c>
      <c r="J27" s="95">
        <f>F12</f>
        <v>0</v>
      </c>
    </row>
    <row r="29">
      <c r="H29" s="146" t="s">
        <v>493</v>
      </c>
      <c r="I29" s="147"/>
      <c r="J29" s="148">
        <f>J25-J27</f>
        <v>0</v>
      </c>
      <c r="L29" s="47" t="s">
        <v>69</v>
      </c>
    </row>
    <row r="30">
      <c r="L30" s="124">
        <f>J29/3</f>
        <v>0</v>
      </c>
      <c r="M30" s="1" t="s">
        <v>79</v>
      </c>
    </row>
    <row r="31">
      <c r="D31" s="14"/>
      <c r="L31" s="124">
        <f t="shared" ref="L31:L32" si="2">L30</f>
        <v>0</v>
      </c>
      <c r="M31" s="1" t="s">
        <v>82</v>
      </c>
    </row>
    <row r="32">
      <c r="D32" s="14"/>
      <c r="L32" s="124">
        <f t="shared" si="2"/>
        <v>0</v>
      </c>
      <c r="M32" s="1" t="s">
        <v>84</v>
      </c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mergeCells count="1">
    <mergeCell ref="C18:J19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75"/>
    <col customWidth="1" min="3" max="3" width="58.63"/>
    <col customWidth="1" min="4" max="4" width="18.25"/>
    <col customWidth="1" min="5" max="5" width="15.13"/>
    <col customWidth="1" min="6" max="6" width="15.88"/>
    <col customWidth="1" min="7" max="7" width="16.25"/>
    <col customWidth="1" min="8" max="8" width="18.25"/>
    <col customWidth="1" min="9" max="9" width="24.13"/>
    <col customWidth="1" min="10" max="10" width="20.88"/>
    <col customWidth="1" min="11" max="11" width="9.38"/>
    <col customWidth="1" min="12" max="12" width="21.38"/>
    <col customWidth="1" min="13" max="13" width="7.25"/>
  </cols>
  <sheetData>
    <row r="1">
      <c r="A1" s="48" t="s">
        <v>0</v>
      </c>
      <c r="B1" s="48" t="s">
        <v>475</v>
      </c>
      <c r="C1" s="49" t="s">
        <v>476</v>
      </c>
      <c r="D1" s="50" t="s">
        <v>477</v>
      </c>
      <c r="E1" s="48" t="s">
        <v>478</v>
      </c>
      <c r="F1" s="91" t="s">
        <v>479</v>
      </c>
      <c r="G1" s="1" t="s">
        <v>480</v>
      </c>
      <c r="J1" s="15" t="s">
        <v>207</v>
      </c>
    </row>
    <row r="2">
      <c r="A2" s="143" t="s">
        <v>306</v>
      </c>
      <c r="B2" s="1" t="s">
        <v>566</v>
      </c>
      <c r="C2" s="15" t="s">
        <v>572</v>
      </c>
      <c r="D2" s="53">
        <v>550000.0</v>
      </c>
      <c r="F2" s="40"/>
      <c r="J2" s="94">
        <v>0.17</v>
      </c>
      <c r="L2" s="17">
        <f t="shared" ref="L2:L3" si="1">D2*J2</f>
        <v>93500</v>
      </c>
    </row>
    <row r="3">
      <c r="A3" s="143"/>
      <c r="B3" s="143"/>
      <c r="C3" s="15"/>
      <c r="D3" s="53"/>
      <c r="E3" s="143"/>
      <c r="F3" s="144"/>
      <c r="G3" s="7"/>
      <c r="J3" s="94"/>
      <c r="L3" s="17">
        <f t="shared" si="1"/>
        <v>0</v>
      </c>
    </row>
    <row r="4">
      <c r="A4" s="143"/>
      <c r="B4" s="143"/>
      <c r="C4" s="143"/>
      <c r="D4" s="143"/>
      <c r="E4" s="143"/>
      <c r="F4" s="143"/>
      <c r="G4" s="7"/>
    </row>
    <row r="5">
      <c r="A5" s="143"/>
      <c r="B5" s="143"/>
      <c r="C5" s="143"/>
      <c r="D5" s="143"/>
      <c r="E5" s="143"/>
      <c r="F5" s="143"/>
      <c r="G5" s="7"/>
    </row>
    <row r="6">
      <c r="A6" s="143"/>
      <c r="B6" s="143"/>
      <c r="C6" s="143"/>
      <c r="D6" s="143"/>
      <c r="E6" s="143"/>
      <c r="F6" s="143"/>
      <c r="G6" s="7"/>
    </row>
    <row r="7">
      <c r="A7" s="143"/>
      <c r="B7" s="143"/>
      <c r="C7" s="143"/>
      <c r="D7" s="143"/>
      <c r="E7" s="143"/>
      <c r="F7" s="143"/>
      <c r="G7" s="7"/>
    </row>
    <row r="8">
      <c r="A8" s="143"/>
      <c r="B8" s="143"/>
      <c r="C8" s="143"/>
      <c r="D8" s="143"/>
      <c r="E8" s="143"/>
      <c r="F8" s="143"/>
      <c r="G8" s="7"/>
    </row>
    <row r="9">
      <c r="D9" s="11"/>
    </row>
    <row r="10">
      <c r="D10" s="14"/>
    </row>
    <row r="11">
      <c r="D11" s="14"/>
      <c r="G11" s="15" t="s">
        <v>472</v>
      </c>
      <c r="H11" s="1" t="s">
        <v>473</v>
      </c>
      <c r="J11" s="59" t="s">
        <v>474</v>
      </c>
    </row>
    <row r="12">
      <c r="D12" s="19">
        <f>SUM(D2:D11)</f>
        <v>550000</v>
      </c>
      <c r="F12" s="40">
        <f>SUM(F2:F9)</f>
        <v>0</v>
      </c>
      <c r="G12" s="18">
        <f>SUM(G3:G8)</f>
        <v>0</v>
      </c>
      <c r="H12" s="145">
        <f>D12-F12</f>
        <v>550000</v>
      </c>
      <c r="J12" s="59">
        <f>H12*2/100</f>
        <v>11000</v>
      </c>
    </row>
    <row r="13">
      <c r="D13" s="14"/>
      <c r="I13" s="15" t="s">
        <v>498</v>
      </c>
      <c r="J13" s="59">
        <f>D12*2/100</f>
        <v>11000</v>
      </c>
      <c r="L13" s="17">
        <f>SUM(L2:L11)</f>
        <v>93500</v>
      </c>
    </row>
    <row r="14">
      <c r="D14" s="14"/>
      <c r="J14" s="59"/>
    </row>
    <row r="15">
      <c r="D15" s="14"/>
    </row>
    <row r="16">
      <c r="D16" s="14"/>
    </row>
    <row r="17">
      <c r="D17" s="14"/>
    </row>
    <row r="18">
      <c r="C18" s="22" t="s">
        <v>492</v>
      </c>
      <c r="D18" s="23"/>
      <c r="E18" s="23"/>
      <c r="F18" s="23"/>
      <c r="G18" s="23"/>
      <c r="H18" s="23"/>
      <c r="I18" s="23"/>
      <c r="J18" s="24"/>
    </row>
    <row r="19">
      <c r="C19" s="27"/>
      <c r="D19" s="28"/>
      <c r="E19" s="28"/>
      <c r="F19" s="28"/>
      <c r="G19" s="28"/>
      <c r="H19" s="28"/>
      <c r="I19" s="28"/>
      <c r="J19" s="29"/>
    </row>
    <row r="20">
      <c r="C20" s="10"/>
      <c r="D20" s="10" t="s">
        <v>49</v>
      </c>
      <c r="E20" s="10" t="s">
        <v>51</v>
      </c>
      <c r="F20" s="10" t="s">
        <v>52</v>
      </c>
      <c r="G20" s="10"/>
      <c r="H20" s="10" t="s">
        <v>352</v>
      </c>
      <c r="I20" s="10" t="s">
        <v>56</v>
      </c>
      <c r="J20" s="10" t="s">
        <v>57</v>
      </c>
    </row>
    <row r="21">
      <c r="C21" s="1" t="s">
        <v>59</v>
      </c>
      <c r="D21" s="11">
        <f>SUM(D2:D3)</f>
        <v>550000</v>
      </c>
      <c r="E21" s="1">
        <v>2.0</v>
      </c>
      <c r="F21" s="38">
        <v>2.0</v>
      </c>
      <c r="H21" s="17">
        <f>D21*E21/100</f>
        <v>11000</v>
      </c>
      <c r="I21" s="17">
        <f>H21*F21</f>
        <v>22000</v>
      </c>
      <c r="J21" s="14">
        <f>D21+I21</f>
        <v>572000</v>
      </c>
    </row>
    <row r="22">
      <c r="D22" s="11"/>
      <c r="F22" s="38"/>
    </row>
    <row r="23">
      <c r="D23" s="11"/>
      <c r="F23" s="38"/>
    </row>
    <row r="24">
      <c r="D24" s="14"/>
      <c r="F24" s="40"/>
    </row>
    <row r="25">
      <c r="D25" s="14"/>
      <c r="F25" s="40"/>
      <c r="J25" s="19">
        <f>SUM(J21:J23)</f>
        <v>572000</v>
      </c>
    </row>
    <row r="26">
      <c r="D26" s="14"/>
      <c r="F26" s="40"/>
    </row>
    <row r="27">
      <c r="H27" s="39" t="s">
        <v>62</v>
      </c>
      <c r="J27" s="95">
        <f>F12</f>
        <v>0</v>
      </c>
    </row>
    <row r="29">
      <c r="H29" s="146" t="s">
        <v>493</v>
      </c>
      <c r="I29" s="147"/>
      <c r="J29" s="148">
        <f>J25-J27</f>
        <v>572000</v>
      </c>
      <c r="L29" s="47" t="s">
        <v>69</v>
      </c>
    </row>
    <row r="30">
      <c r="L30" s="124">
        <f>J29/3</f>
        <v>190666.6667</v>
      </c>
      <c r="M30" s="1" t="s">
        <v>79</v>
      </c>
    </row>
    <row r="31">
      <c r="D31" s="14"/>
      <c r="L31" s="124">
        <f t="shared" ref="L31:L32" si="2">L30</f>
        <v>190666.6667</v>
      </c>
      <c r="M31" s="1" t="s">
        <v>82</v>
      </c>
    </row>
    <row r="32">
      <c r="D32" s="14"/>
      <c r="L32" s="124">
        <f t="shared" si="2"/>
        <v>190666.6667</v>
      </c>
      <c r="M32" s="1" t="s">
        <v>84</v>
      </c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</sheetData>
  <mergeCells count="1">
    <mergeCell ref="C18:J19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573</v>
      </c>
      <c r="B1" s="1" t="s">
        <v>574</v>
      </c>
      <c r="C1" s="1" t="s">
        <v>575</v>
      </c>
    </row>
    <row r="2">
      <c r="A2" s="1">
        <v>1.0</v>
      </c>
      <c r="B2" s="1" t="s">
        <v>576</v>
      </c>
      <c r="C2" s="17">
        <f>'Ajay Konjerala'!L17</f>
        <v>17500</v>
      </c>
    </row>
    <row r="3">
      <c r="A3" s="1">
        <v>2.0</v>
      </c>
      <c r="B3" s="1" t="s">
        <v>577</v>
      </c>
      <c r="C3" s="17">
        <f>'Mounika (ajay sister)'!L13</f>
        <v>5000</v>
      </c>
    </row>
    <row r="4">
      <c r="A4" s="1">
        <v>3.0</v>
      </c>
      <c r="B4" s="1" t="s">
        <v>578</v>
      </c>
      <c r="C4" s="17">
        <f>'khrawkupar khar singh '!L16</f>
        <v>3000</v>
      </c>
    </row>
    <row r="5">
      <c r="A5" s="1">
        <v>4.0</v>
      </c>
      <c r="B5" s="1" t="s">
        <v>579</v>
      </c>
      <c r="C5" s="17">
        <f>'Abid rashi'!L14</f>
        <v>8500</v>
      </c>
    </row>
    <row r="6">
      <c r="A6" s="1">
        <v>5.0</v>
      </c>
      <c r="B6" s="1" t="s">
        <v>580</v>
      </c>
      <c r="C6" s="1">
        <f>'Shailesh Pandey '!L13</f>
        <v>1400</v>
      </c>
      <c r="D6" s="1" t="s">
        <v>581</v>
      </c>
    </row>
    <row r="7">
      <c r="A7" s="1">
        <v>6.0</v>
      </c>
      <c r="B7" s="1" t="s">
        <v>582</v>
      </c>
      <c r="C7" s="1" t="str">
        <f>'Aniket Shrivastava '!L13/2</f>
        <v>#VALUE!</v>
      </c>
      <c r="D7" s="1" t="s">
        <v>583</v>
      </c>
    </row>
    <row r="20">
      <c r="B20" s="15" t="s">
        <v>584</v>
      </c>
      <c r="C20" s="55" t="str">
        <f>SUM(C2:C17)</f>
        <v>#VALUE!</v>
      </c>
    </row>
    <row r="22">
      <c r="B22" s="39" t="s">
        <v>585</v>
      </c>
      <c r="C22" s="1">
        <v>55000.0</v>
      </c>
    </row>
    <row r="24">
      <c r="B24" s="1" t="s">
        <v>586</v>
      </c>
      <c r="C24" s="17" t="str">
        <f>C22-C20</f>
        <v>#VALUE!</v>
      </c>
    </row>
  </sheetData>
  <drawing r:id="rId1"/>
</worksheet>
</file>